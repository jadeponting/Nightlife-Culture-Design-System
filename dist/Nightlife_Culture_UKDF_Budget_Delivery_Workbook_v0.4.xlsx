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Dashboard" sheetId="2" state="visible" r:id="rId4"/>
    <sheet name="Assumptions" sheetId="3" state="visible" r:id="rId5"/>
    <sheet name="Work Packages" sheetId="4" state="visible" r:id="rId6"/>
    <sheet name="Timeline" sheetId="5" state="visible" r:id="rId7"/>
    <sheet name="Phase Budget" sheetId="6" state="visible" r:id="rId8"/>
    <sheet name="Internal Capacity Test" sheetId="7" state="visible" r:id="rId9"/>
    <sheet name="Specialist Inputs" sheetId="8" state="visible" r:id="rId10"/>
    <sheet name="Fieldwork" sheetId="9" state="visible" r:id="rId11"/>
    <sheet name="Funding Boundaries" sheetId="10" state="visible" r:id="rId12"/>
    <sheet name="Partner Contributions" sheetId="11" state="visible" r:id="rId13"/>
    <sheet name="Milestones &amp; Gates" sheetId="12" state="visible" r:id="rId14"/>
    <sheet name="Risks &amp; Dependencies" sheetId="13" state="visible" r:id="rId15"/>
    <sheet name="Outputs &amp; Evidence" sheetId="14" state="visible" r:id="rId16"/>
    <sheet name="Decision Log" sheetId="15" state="visible" r:id="rId17"/>
    <sheet name="Source Register" sheetId="16" state="visible" r:id="rId18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<sst xmlns="http://schemas.openxmlformats.org/spreadsheetml/2006/main" count="1020" uniqueCount="680">
  <si>
    <t xml:space="preserve">Nightlife Culture / UKDF Fellowship Budget &amp; Delivery Workbook</t>
  </si>
  <si>
    <t xml:space="preserve">How to use v0.3 and what changed from v0.2</t>
  </si>
  <si>
    <t xml:space="preserve">Version 0.3  |  14 August 2026  |  Application working source of truth</t>
  </si>
  <si>
    <t xml:space="preserve">This workbook inherits its proposition and language from the Artists Make Great Places master framework.</t>
  </si>
  <si>
    <t xml:space="preserve">Control</t>
  </si>
  <si>
    <t xml:space="preserve">Current position</t>
  </si>
  <si>
    <t xml:space="preserve">Document hierarchy</t>
  </si>
  <si>
    <t xml:space="preserve">Budget authority</t>
  </si>
  <si>
    <t xml:space="preserve">Phase Budget is the application-facing source of truth. It balances to one flexible £50,000 programme resource.</t>
  </si>
  <si>
    <t xml:space="preserve">1</t>
  </si>
  <si>
    <t xml:space="preserve">Artists Make Great Places master framework</t>
  </si>
  <si>
    <t xml:space="preserve">Proposition, canonical language, method, five strands, Why Carly and deck-copy authority</t>
  </si>
  <si>
    <t xml:space="preserve">Locked for application drafting</t>
  </si>
  <si>
    <t xml:space="preserve">Change by logged decision</t>
  </si>
  <si>
    <t xml:space="preserve">Capacity authority</t>
  </si>
  <si>
    <t xml:space="preserve">Internal Capacity Test is a sufficiency check only. It does not ringfence founder time or create an external-cost pot.</t>
  </si>
  <si>
    <t xml:space="preserve">2</t>
  </si>
  <si>
    <t xml:space="preserve">UKDF application draft</t>
  </si>
  <si>
    <t xml:space="preserve">Full unrestricted narrative before editing to word limits</t>
  </si>
  <si>
    <t xml:space="preserve">Next gateway</t>
  </si>
  <si>
    <t xml:space="preserve">Inherit from master</t>
  </si>
  <si>
    <t xml:space="preserve">Working rate</t>
  </si>
  <si>
    <t xml:space="preserve">£500/day appears only where an application field or internal calculation requires a rate.</t>
  </si>
  <si>
    <t xml:space="preserve">3</t>
  </si>
  <si>
    <t xml:space="preserve">Main proposal deck</t>
  </si>
  <si>
    <t xml:space="preserve">Persuasive, visual application-facing argument</t>
  </si>
  <si>
    <t xml:space="preserve">Copy architecture drafted</t>
  </si>
  <si>
    <t xml:space="preserve">Design after copy approval</t>
  </si>
  <si>
    <t xml:space="preserve">Delivery window</t>
  </si>
  <si>
    <t xml:space="preserve">10–12 months. Phase outcomes govern delivery; overlap and sequencing can respond to evidence.</t>
  </si>
  <si>
    <t xml:space="preserve">4</t>
  </si>
  <si>
    <t xml:space="preserve">Detailed project-plan deck</t>
  </si>
  <si>
    <t xml:space="preserve">Work packages, timeline, scope, budget, boundaries, gates and risks</t>
  </si>
  <si>
    <t xml:space="preserve">Confirmed co-funding</t>
  </si>
  <si>
    <t xml:space="preserve">ACE £0. Partner cash £0. Partner in-kind £0. No contribution is treated as real until documented.</t>
  </si>
  <si>
    <t xml:space="preserve">5</t>
  </si>
  <si>
    <t xml:space="preserve">Operating plan v0.3</t>
  </si>
  <si>
    <t xml:space="preserve">Detailed delivery and due-diligence source</t>
  </si>
  <si>
    <t xml:space="preserve">Aligned</t>
  </si>
  <si>
    <t xml:space="preserve">Operational authority</t>
  </si>
  <si>
    <t xml:space="preserve">NCVI scope</t>
  </si>
  <si>
    <t xml:space="preserve">A proposed shared evidence layer: hypothesis, evidence architecture, low-fidelity prototype, user tests and next-stage technical brief.</t>
  </si>
  <si>
    <t xml:space="preserve">6</t>
  </si>
  <si>
    <t xml:space="preserve">This workbook v0.3</t>
  </si>
  <si>
    <t xml:space="preserve">Numerical and delivery controls</t>
  </si>
  <si>
    <t xml:space="preserve">Numerical authority</t>
  </si>
  <si>
    <t xml:space="preserve">Change control</t>
  </si>
  <si>
    <t xml:space="preserve">Decision Log records all material changes from v0.2. The v0.2 files remain preserved.</t>
  </si>
  <si>
    <t xml:space="preserve">UKDF fellowship dashboard</t>
  </si>
  <si>
    <t xml:space="preserve">Decision-ready view of budget, scope, capacity and boundaries</t>
  </si>
  <si>
    <t xml:space="preserve">UKDF request</t>
  </si>
  <si>
    <t xml:space="preserve">Phase budget</t>
  </si>
  <si>
    <t xml:space="preserve">Variance</t>
  </si>
  <si>
    <t xml:space="preserve">10–12 months</t>
  </si>
  <si>
    <t xml:space="preserve">Working rate if required</t>
  </si>
  <si>
    <t xml:space="preserve">Internal founder-day reference</t>
  </si>
  <si>
    <t xml:space="preserve">Place cases</t>
  </si>
  <si>
    <t xml:space="preserve">Substantive conversations</t>
  </si>
  <si>
    <t xml:space="preserve">18–24</t>
  </si>
  <si>
    <t xml:space="preserve">Paid substantial contributions</t>
  </si>
  <si>
    <t xml:space="preserve">Up to 15</t>
  </si>
  <si>
    <t xml:space="preserve">Prototype users</t>
  </si>
  <si>
    <t xml:space="preserve">6–10</t>
  </si>
  <si>
    <t xml:space="preserve">ATTTF / WECA first six months</t>
  </si>
  <si>
    <t xml:space="preserve">3 days/week</t>
  </si>
  <si>
    <t xml:space="preserve">Primary proposition</t>
  </si>
  <si>
    <t xml:space="preserve">Nationally relevant infrastructure that increases hyperlocal power.</t>
  </si>
  <si>
    <t xml:space="preserve">NCVI</t>
  </si>
  <si>
    <t xml:space="preserve">Proposed shared evidence layer for the cultural life of the night</t>
  </si>
  <si>
    <t xml:space="preserve">Step change</t>
  </si>
  <si>
    <t xml:space="preserve">Field argument + tested method + investable institution + fundable next phase</t>
  </si>
  <si>
    <t xml:space="preserve">Core deliverable through UKDF alone</t>
  </si>
  <si>
    <t xml:space="preserve">Yes</t>
  </si>
  <si>
    <t xml:space="preserve">Budget by phase</t>
  </si>
  <si>
    <t xml:space="preserve">Code</t>
  </si>
  <si>
    <t xml:space="preserve">Phase</t>
  </si>
  <si>
    <t xml:space="preserve">Envelope</t>
  </si>
  <si>
    <t xml:space="preserve">%</t>
  </si>
  <si>
    <t xml:space="preserve">Status</t>
  </si>
  <si>
    <t xml:space="preserve">Meaning</t>
  </si>
  <si>
    <t xml:space="preserve">WP1</t>
  </si>
  <si>
    <t xml:space="preserve">Frame the inquiry</t>
  </si>
  <si>
    <t xml:space="preserve">Budget balances</t>
  </si>
  <si>
    <t xml:space="preserve">Formula</t>
  </si>
  <si>
    <t xml:space="preserve">Dashboard variance must equal £0</t>
  </si>
  <si>
    <t xml:space="preserve">WP2</t>
  </si>
  <si>
    <t xml:space="preserve">People, scenes and place</t>
  </si>
  <si>
    <t xml:space="preserve">Founder-day figure</t>
  </si>
  <si>
    <t xml:space="preserve">Internal only</t>
  </si>
  <si>
    <t xml:space="preserve">52 days is a sufficiency test, not a public promise</t>
  </si>
  <si>
    <t xml:space="preserve">WP3</t>
  </si>
  <si>
    <t xml:space="preserve">Follow the value</t>
  </si>
  <si>
    <t xml:space="preserve">Day rate</t>
  </si>
  <si>
    <t xml:space="preserve">£500 if required</t>
  </si>
  <si>
    <t xml:space="preserve">Budget remains phase-based</t>
  </si>
  <si>
    <t xml:space="preserve">WP4</t>
  </si>
  <si>
    <t xml:space="preserve">Test what helps</t>
  </si>
  <si>
    <t xml:space="preserve">ACE / partners</t>
  </si>
  <si>
    <t xml:space="preserve">£0 confirmed</t>
  </si>
  <si>
    <t xml:space="preserve">Core delivery does not depend on other income</t>
  </si>
  <si>
    <t xml:space="preserve">WP5</t>
  </si>
  <si>
    <t xml:space="preserve">Build Nightlife Culture</t>
  </si>
  <si>
    <t xml:space="preserve">Proposed</t>
  </si>
  <si>
    <t xml:space="preserve">Prototype and technical brief, not validated national index</t>
  </si>
  <si>
    <t xml:space="preserve">WP6</t>
  </si>
  <si>
    <t xml:space="preserve">Integrate and mobilise</t>
  </si>
  <si>
    <t xml:space="preserve">ATTTF</t>
  </si>
  <si>
    <t xml:space="preserve">Separate delivery</t>
  </si>
  <si>
    <t xml:space="preserve">WECA supports CBS establishment and Bristol implementation</t>
  </si>
  <si>
    <t xml:space="preserve">Programme</t>
  </si>
  <si>
    <t xml:space="preserve">Stewardship, access and contingency</t>
  </si>
  <si>
    <t xml:space="preserve">TOTAL</t>
  </si>
  <si>
    <t xml:space="preserve">UKDF fellowship</t>
  </si>
  <si>
    <t xml:space="preserve">Assumptions &amp; controls</t>
  </si>
  <si>
    <t xml:space="preserve">Editable planning inputs; amber cells are live assumptions</t>
  </si>
  <si>
    <t xml:space="preserve">Category</t>
  </si>
  <si>
    <t xml:space="preserve">Assumption</t>
  </si>
  <si>
    <t xml:space="preserve">Current value</t>
  </si>
  <si>
    <t xml:space="preserve">Unit</t>
  </si>
  <si>
    <t xml:space="preserve">Basis / status</t>
  </si>
  <si>
    <t xml:space="preserve">GBP</t>
  </si>
  <si>
    <t xml:space="preserve">Application ceiling</t>
  </si>
  <si>
    <t xml:space="preserve">Capacity</t>
  </si>
  <si>
    <t xml:space="preserve">Working founder day rate if required</t>
  </si>
  <si>
    <t xml:space="preserve">GBP/day</t>
  </si>
  <si>
    <t xml:space="preserve">Carly’s stated working rate</t>
  </si>
  <si>
    <t xml:space="preserve">Internal founder-days reference</t>
  </si>
  <si>
    <t xml:space="preserve">days</t>
  </si>
  <si>
    <t xml:space="preserve">Sufficiency check only</t>
  </si>
  <si>
    <t xml:space="preserve">Timeline</t>
  </si>
  <si>
    <t xml:space="preserve">Minimum delivery window</t>
  </si>
  <si>
    <t xml:space="preserve">months</t>
  </si>
  <si>
    <t xml:space="preserve">Application range</t>
  </si>
  <si>
    <t xml:space="preserve">Maximum delivery window</t>
  </si>
  <si>
    <t xml:space="preserve">Parallel delivery</t>
  </si>
  <si>
    <t xml:space="preserve">ATTTF / WECA commitment in first six months</t>
  </si>
  <si>
    <t xml:space="preserve">days/week</t>
  </si>
  <si>
    <t xml:space="preserve">Separate supported commission</t>
  </si>
  <si>
    <t xml:space="preserve">Fieldwork</t>
  </si>
  <si>
    <t xml:space="preserve">places</t>
  </si>
  <si>
    <t xml:space="preserve">Bounded comparative inquiry</t>
  </si>
  <si>
    <t xml:space="preserve">Minimum substantive conversations</t>
  </si>
  <si>
    <t xml:space="preserve">conversations</t>
  </si>
  <si>
    <t xml:space="preserve">Across the programme</t>
  </si>
  <si>
    <t xml:space="preserve">Maximum substantive conversations</t>
  </si>
  <si>
    <t xml:space="preserve">Participation</t>
  </si>
  <si>
    <t xml:space="preserve">Maximum paid substantial contributions</t>
  </si>
  <si>
    <t xml:space="preserve">contributors</t>
  </si>
  <si>
    <t xml:space="preserve">Payment used when the ask exceeds ordinary engagement</t>
  </si>
  <si>
    <t xml:space="preserve">Prototype</t>
  </si>
  <si>
    <t xml:space="preserve">Minimum intended-user tests</t>
  </si>
  <si>
    <t xml:space="preserve">users</t>
  </si>
  <si>
    <t xml:space="preserve">Low-fidelity test</t>
  </si>
  <si>
    <t xml:space="preserve">Maximum intended-user tests</t>
  </si>
  <si>
    <t xml:space="preserve">Co-funding</t>
  </si>
  <si>
    <t xml:space="preserve">Confirmed ACE contribution</t>
  </si>
  <si>
    <t xml:space="preserve">None confirmed</t>
  </si>
  <si>
    <t xml:space="preserve">Confirmed partner cash</t>
  </si>
  <si>
    <t xml:space="preserve">Confirmed partner in-kind value</t>
  </si>
  <si>
    <t xml:space="preserve">Work packages</t>
  </si>
  <si>
    <t xml:space="preserve">Six distinct delivery jobs beneath five inquiry strands</t>
  </si>
  <si>
    <t xml:space="preserve">Inquiry strand(s)</t>
  </si>
  <si>
    <t xml:space="preserve">Timing</t>
  </si>
  <si>
    <t xml:space="preserve">Distinct job</t>
  </si>
  <si>
    <t xml:space="preserve">Phase outcome</t>
  </si>
  <si>
    <t xml:space="preserve">Decision gate</t>
  </si>
  <si>
    <t xml:space="preserve">All five</t>
  </si>
  <si>
    <t xml:space="preserve">M1–2</t>
  </si>
  <si>
    <t xml:space="preserve">Turn practice and early stakeholder insight into a disciplined inquiry, ethical approach and decision framework</t>
  </si>
  <si>
    <t xml:space="preserve">Inquiry frame; stakeholder/evidence maps; protocol; phase gates</t>
  </si>
  <si>
    <t xml:space="preserve">G1 — Inquiry ready</t>
  </si>
  <si>
    <t xml:space="preserve">How night makes people / How people make places</t>
  </si>
  <si>
    <t xml:space="preserve">M2–5</t>
  </si>
  <si>
    <t xml:space="preserve">Generate field evidence about agency, scenes, spaces and the sonic personality of place</t>
  </si>
  <si>
    <t xml:space="preserve">Two place cases; field insight; reusable place lens</t>
  </si>
  <si>
    <t xml:space="preserve">G2 — Place evidence sufficient</t>
  </si>
  <si>
    <t xml:space="preserve">M3–7</t>
  </si>
  <si>
    <t xml:space="preserve">Trace value, power, ownership and reinvestment, with ATTTF as one live learning case</t>
  </si>
  <si>
    <t xml:space="preserve">Value-flow maps; restorative investment and advocacy implications</t>
  </si>
  <si>
    <t xml:space="preserve">G3 — Value hypotheses usable</t>
  </si>
  <si>
    <t xml:space="preserve">M5–9</t>
  </si>
  <si>
    <t xml:space="preserve">Develop and test the first expression of the proposed Nightlife Cultural Value Index</t>
  </si>
  <si>
    <t xml:space="preserve">Evidence architecture; low-fidelity prototype; 6–10 user tests; technical brief</t>
  </si>
  <si>
    <t xml:space="preserve">G4 — Prototype route chosen</t>
  </si>
  <si>
    <t xml:space="preserve">Build the institution</t>
  </si>
  <si>
    <t xml:space="preserve">M7–10</t>
  </si>
  <si>
    <t xml:space="preserve">Test the institution, partnerships, offer and income architecture able to carry the work</t>
  </si>
  <si>
    <t xml:space="preserve">Institutional proposition; three-part business shape; partner/capability map</t>
  </si>
  <si>
    <t xml:space="preserve">G5 — Institution credible</t>
  </si>
  <si>
    <t xml:space="preserve">M9–12</t>
  </si>
  <si>
    <t xml:space="preserve">Turn learning into a proposition that others can understand, use, back and develop</t>
  </si>
  <si>
    <t xml:space="preserve">Field-backed argument; tested method; investable institution; fundable next phase</t>
  </si>
  <si>
    <t xml:space="preserve">G6 — Mobilise next phase</t>
  </si>
  <si>
    <t xml:space="preserve">M1–12</t>
  </si>
  <si>
    <t xml:space="preserve">Protect coordination, accessibility, participant care, data stewardship and evidence-led adaptation</t>
  </si>
  <si>
    <t xml:space="preserve">Decision log; programme controls; capacity to respond to discovery</t>
  </si>
  <si>
    <t xml:space="preserve">All gates</t>
  </si>
  <si>
    <t xml:space="preserve">Timeline &amp; capacity profile</t>
  </si>
  <si>
    <t xml:space="preserve">10–12 month evidence-led programme with deliberate overlap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</si>
  <si>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</si>
  <si>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</si>
  <si>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</si>
  <si>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</si>
  <si>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</si>
  <si>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</si>
  <si>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</si>
  <si>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</si>
  <si>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</si>
  <si>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</si>
  <si>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</si>
  <si>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</si>
  <si>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Outcome month</t>
  </si>
  <si>
    <t xml:space="preserve">WP1 — Frame</t>
  </si>
  <si>
    <t xml:space="preserve">●</t>
  </si>
  <si>
    <t xml:space="preserve">WP2 — People/place</t>
  </si>
  <si>
    <t xml:space="preserve">WP3 — Value</t>
  </si>
  <si>
    <t xml:space="preserve">WP4 — Test / NCVI</t>
  </si>
  <si>
    <t xml:space="preserve">WP5 — Institution</t>
  </si>
  <si>
    <t xml:space="preserve">WP6 — Integrate</t>
  </si>
  <si>
    <t xml:space="preserve">Stewardship</t>
  </si>
  <si>
    <t xml:space="preserve">Internal founder-capacity profile — a planning test, not an application promise</t>
  </si>
  <si>
    <t xml:space="preserve">Profile</t>
  </si>
  <si>
    <t xml:space="preserve">Total / note</t>
  </si>
  <si>
    <t xml:space="preserve">Founder days reference</t>
  </si>
  <si>
    <t xml:space="preserve">ATTTF / WECA days per week</t>
  </si>
  <si>
    <t xml:space="preserve">Separate supported commission; first six months</t>
  </si>
  <si>
    <t xml:space="preserve">Decision gates</t>
  </si>
  <si>
    <t xml:space="preserve">G1</t>
  </si>
  <si>
    <t xml:space="preserve">G2</t>
  </si>
  <si>
    <t xml:space="preserve">G3</t>
  </si>
  <si>
    <t xml:space="preserve">G4</t>
  </si>
  <si>
    <t xml:space="preserve">G5</t>
  </si>
  <si>
    <t xml:space="preserve">G6</t>
  </si>
  <si>
    <t xml:space="preserve">Evidence-led progression</t>
  </si>
  <si>
    <t xml:space="preserve">One flexible £50,000 programme resource; envelopes are reviewed at decision gates</t>
  </si>
  <si>
    <t xml:space="preserve">% of request</t>
  </si>
  <si>
    <t xml:space="preserve">What it must make possible</t>
  </si>
  <si>
    <t xml:space="preserve">Review point</t>
  </si>
  <si>
    <t xml:space="preserve">Founder capacity; research-design and ethics challenge; evidence and stakeholder mapping; programme setup</t>
  </si>
  <si>
    <t xml:space="preserve">Founder fieldwork and synthesis; participant contributions; access, travel, facilitation and selected research support</t>
  </si>
  <si>
    <t xml:space="preserve">Founder inquiry and synthesis; economic, funding or governance challenge; value-flow development</t>
  </si>
  <si>
    <t xml:space="preserve">Founder product/evidence leadership; measurement, data ethics, design and technical expertise; prototype and user testing</t>
  </si>
  <si>
    <t xml:space="preserve">Founder institutional design; governance, commercial and funding challenge; partnership development</t>
  </si>
  <si>
    <t xml:space="preserve">Founder synthesis; editorial/design support; targeted next-stage technical scoping and mobilisation</t>
  </si>
  <si>
    <t xml:space="preserve">Coordination, accessibility, participant care, data stewardship and evidence-led contingency</t>
  </si>
  <si>
    <t xml:space="preserve">Balanced to request ceiling</t>
  </si>
  <si>
    <t xml:space="preserve">Internal capacity sufficiency test</t>
  </si>
  <si>
    <t xml:space="preserve">Reference scenarios only; no budget category is ringfenced to founder or external costs</t>
  </si>
  <si>
    <t xml:space="preserve">Rate sensitivity for the 52-day internal reference</t>
  </si>
  <si>
    <t xml:space="preserve">Scenario</t>
  </si>
  <si>
    <t xml:space="preserve">Reference day rate</t>
  </si>
  <si>
    <t xml:space="preserve">Reference days</t>
  </si>
  <si>
    <t xml:space="preserve">Founder capacity value</t>
  </si>
  <si>
    <t xml:space="preserve">Flexible programme resource remaining in scenario</t>
  </si>
  <si>
    <t xml:space="preserve">Working application rate</t>
  </si>
  <si>
    <t xml:space="preserve">Carly’s stated rate if a form requires one</t>
  </si>
  <si>
    <t xml:space="preserve">Sensitivity</t>
  </si>
  <si>
    <t xml:space="preserve">Internal planning test</t>
  </si>
  <si>
    <t xml:space="preserve">All scenarios remain subordinate to the phase budget and outcomes</t>
  </si>
  <si>
    <t xml:space="preserve">Illustrative allocation of 52 founder days across programme jobs</t>
  </si>
  <si>
    <t xml:space="preserve">Planning rationale</t>
  </si>
  <si>
    <t xml:space="preserve">Application effect</t>
  </si>
  <si>
    <t xml:space="preserve">Intensive framing, mapping and programme setup</t>
  </si>
  <si>
    <t xml:space="preserve">52 days</t>
  </si>
  <si>
    <t xml:space="preserve">Shows a credible founder-capacity profile can fit the programme; phase outcomes remain the delivery promise</t>
  </si>
  <si>
    <t xml:space="preserve">Field relationships, inquiry and synthesis</t>
  </si>
  <si>
    <t xml:space="preserve">£500/day</t>
  </si>
  <si>
    <t xml:space="preserve">Used where a rate is required; does not create a ringfenced founder budget line</t>
  </si>
  <si>
    <t xml:space="preserve">Value inquiry, ATTTF learning and synthesis</t>
  </si>
  <si>
    <t xml:space="preserve">Specialist/direct activity</t>
  </si>
  <si>
    <t xml:space="preserve">Commissioned within phase envelopes according to the capability each phase needs</t>
  </si>
  <si>
    <t xml:space="preserve">Evidence/product leadership and testing</t>
  </si>
  <si>
    <t xml:space="preserve">Gate review</t>
  </si>
  <si>
    <t xml:space="preserve">Resource can move between activities when evidence changes the route</t>
  </si>
  <si>
    <t xml:space="preserve">Institutional and partnership development</t>
  </si>
  <si>
    <t xml:space="preserve">Value for money</t>
  </si>
  <si>
    <t xml:space="preserve">Specialist scopes are targeted; larger studies and production builds move to a later funded phase</t>
  </si>
  <si>
    <t xml:space="preserve">Synthesis, next phase and mobilisation</t>
  </si>
  <si>
    <t xml:space="preserve">Stewardship, gates and decision log</t>
  </si>
  <si>
    <t xml:space="preserve">Internal sufficiency check</t>
  </si>
  <si>
    <t xml:space="preserve">Specialist inputs</t>
  </si>
  <si>
    <t xml:space="preserve">Targeted expertise purchased within phase envelopes; scopes remain flexible until the evidence clarifies the need</t>
  </si>
  <si>
    <t xml:space="preserve">Need</t>
  </si>
  <si>
    <t xml:space="preserve">Likely moment</t>
  </si>
  <si>
    <t xml:space="preserve">Purpose</t>
  </si>
  <si>
    <t xml:space="preserve">Smallest useful scope</t>
  </si>
  <si>
    <t xml:space="preserve">Larger work moves to</t>
  </si>
  <si>
    <t xml:space="preserve">Research design and ethics</t>
  </si>
  <si>
    <t xml:space="preserve">Challenge questions, sampling, participation and claims</t>
  </si>
  <si>
    <t xml:space="preserve">Short senior review plus focused revisions</t>
  </si>
  <si>
    <t xml:space="preserve">To scope</t>
  </si>
  <si>
    <t xml:space="preserve">Later phase only if method risk expands</t>
  </si>
  <si>
    <t xml:space="preserve">Place / cultural research</t>
  </si>
  <si>
    <t xml:space="preserve">G1–G2</t>
  </si>
  <si>
    <t xml:space="preserve">Strengthen comparative design, fieldwork and synthesis</t>
  </si>
  <si>
    <t xml:space="preserve">Targeted challenge, access or facilitation</t>
  </si>
  <si>
    <t xml:space="preserve">Additional place cases or national fieldwork</t>
  </si>
  <si>
    <t xml:space="preserve">Economic / funding / governance</t>
  </si>
  <si>
    <t xml:space="preserve">G2–G3</t>
  </si>
  <si>
    <t xml:space="preserve">Interrogate value flows, ownership and restorative investment</t>
  </si>
  <si>
    <t xml:space="preserve">Selected questions and value-flow challenge</t>
  </si>
  <si>
    <t xml:space="preserve">Econometrics, ROI/SROI or formal national analysis</t>
  </si>
  <si>
    <t xml:space="preserve">Measurement and data ethics</t>
  </si>
  <si>
    <t xml:space="preserve">G3–G4</t>
  </si>
  <si>
    <t xml:space="preserve">Develop candidate dimensions, evidence standards and safe data principles</t>
  </si>
  <si>
    <t xml:space="preserve">Senior design challenge and specification</t>
  </si>
  <si>
    <t xml:space="preserve">Validation, weighting and national benchmarking</t>
  </si>
  <si>
    <t xml:space="preserve">Service / information design</t>
  </si>
  <si>
    <t xml:space="preserve">Make the evidence architecture tangible and testable</t>
  </si>
  <si>
    <t xml:space="preserve">Low-fidelity prototype</t>
  </si>
  <si>
    <t xml:space="preserve">Production UX and platform build</t>
  </si>
  <si>
    <t xml:space="preserve">Technical feasibility</t>
  </si>
  <si>
    <t xml:space="preserve">WP4 / WP6</t>
  </si>
  <si>
    <t xml:space="preserve">G4 / G6</t>
  </si>
  <si>
    <t xml:space="preserve">Test data/product assumptions and estimate next-stage build</t>
  </si>
  <si>
    <t xml:space="preserve">Architecture, dependencies and cost bands</t>
  </si>
  <si>
    <t xml:space="preserve">Software, integrations and ongoing operation</t>
  </si>
  <si>
    <t xml:space="preserve">Institutional / legal / commercial</t>
  </si>
  <si>
    <t xml:space="preserve">Test governance, partnerships, intellectual assets and income routes</t>
  </si>
  <si>
    <t xml:space="preserve">Decision-point advice</t>
  </si>
  <si>
    <t xml:space="preserve">Full implementation and contracted partnerships</t>
  </si>
  <si>
    <t xml:space="preserve">Editorial and design</t>
  </si>
  <si>
    <t xml:space="preserve">Make field argument and mobilisation materials compelling</t>
  </si>
  <si>
    <t xml:space="preserve">Priority application and partner outputs</t>
  </si>
  <si>
    <t xml:space="preserve">Wider campaign and national mobilisation</t>
  </si>
  <si>
    <t xml:space="preserve">Fieldwork &amp; participation</t>
  </si>
  <si>
    <t xml:space="preserve">A bounded programme sized for the £50,000 fellowship</t>
  </si>
  <si>
    <t xml:space="preserve">Activity</t>
  </si>
  <si>
    <t xml:space="preserve">Volume</t>
  </si>
  <si>
    <t xml:space="preserve">Cost treatment</t>
  </si>
  <si>
    <t xml:space="preserve">Evidence created</t>
  </si>
  <si>
    <t xml:space="preserve">Boundary</t>
  </si>
  <si>
    <t xml:space="preserve">Contrasting place cases</t>
  </si>
  <si>
    <t xml:space="preserve">Test people/place thesis beyond one familiar context</t>
  </si>
  <si>
    <t xml:space="preserve">Within WP2 phase envelope</t>
  </si>
  <si>
    <t xml:space="preserve">Two bounded case records and reusable place lens</t>
  </si>
  <si>
    <t xml:space="preserve">To select at G1</t>
  </si>
  <si>
    <t xml:space="preserve">No national sample</t>
  </si>
  <si>
    <t xml:space="preserve">Gather lived, institutional and specialist knowledge across programme</t>
  </si>
  <si>
    <t xml:space="preserve">Founder capacity plus access/facilitation/transcription as needed</t>
  </si>
  <si>
    <t xml:space="preserve">Consent record, notes and thematic synthesis</t>
  </si>
  <si>
    <t xml:space="preserve">Planned</t>
  </si>
  <si>
    <t xml:space="preserve">Across full programme, not per place</t>
  </si>
  <si>
    <t xml:space="preserve">Recognise participation where the ask exceeds ordinary stakeholder engagement</t>
  </si>
  <si>
    <t xml:space="preserve">Within relevant phase envelope</t>
  </si>
  <si>
    <t xml:space="preserve">Contributor input and decision trace</t>
  </si>
  <si>
    <t xml:space="preserve">Payment is not assumed for every conversation</t>
  </si>
  <si>
    <t xml:space="preserve">NCVI intended-user tests</t>
  </si>
  <si>
    <t xml:space="preserve">Challenge usefulness, legitimacy, feasibility and unintended consequences</t>
  </si>
  <si>
    <t xml:space="preserve">Within WP4 phase envelope</t>
  </si>
  <si>
    <t xml:space="preserve">Test record and prototype revisions</t>
  </si>
  <si>
    <t xml:space="preserve">Qualitative learning, not statistical validation</t>
  </si>
  <si>
    <t xml:space="preserve">Rapid evidence review</t>
  </si>
  <si>
    <t xml:space="preserve">Bounded</t>
  </si>
  <si>
    <t xml:space="preserve">Connect live questions to existing evidence and identify gaps</t>
  </si>
  <si>
    <t xml:space="preserve">Founder capacity plus targeted research support</t>
  </si>
  <si>
    <t xml:space="preserve">Evidence map and source notes</t>
  </si>
  <si>
    <t xml:space="preserve">No exhaustive systematic review</t>
  </si>
  <si>
    <t xml:space="preserve">Accessible existing data</t>
  </si>
  <si>
    <t xml:space="preserve">Selected</t>
  </si>
  <si>
    <t xml:space="preserve">Test evidence dimensions and feasibility</t>
  </si>
  <si>
    <t xml:space="preserve">Within WP3/WP4 envelopes</t>
  </si>
  <si>
    <t xml:space="preserve">Data map and technical assumptions</t>
  </si>
  <si>
    <t xml:space="preserve">No national data integration build</t>
  </si>
  <si>
    <t xml:space="preserve">Travel, access and participation support</t>
  </si>
  <si>
    <t xml:space="preserve">As needed</t>
  </si>
  <si>
    <t xml:space="preserve">Enable credible, safe and inclusive participation</t>
  </si>
  <si>
    <t xml:space="preserve">Across WP2/WP4 and programme stewardship</t>
  </si>
  <si>
    <t xml:space="preserve">Access record and participation learning</t>
  </si>
  <si>
    <t xml:space="preserve">Gate review protects affordability</t>
  </si>
  <si>
    <t xml:space="preserve">Funding boundaries &amp; additionality</t>
  </si>
  <si>
    <t xml:space="preserve">Clean roles across UKDF, WECA / A Ticket to the Future, ACE and partners</t>
  </si>
  <si>
    <t xml:space="preserve">Resource</t>
  </si>
  <si>
    <t xml:space="preserve">Role</t>
  </si>
  <si>
    <t xml:space="preserve">Requested / confirmed</t>
  </si>
  <si>
    <t xml:space="preserve">Current status</t>
  </si>
  <si>
    <t xml:space="preserve">Accounting control</t>
  </si>
  <si>
    <t xml:space="preserve">UKDF</t>
  </si>
  <si>
    <t xml:space="preserve">Comparative inquiry, transferable learning, NCVI R&amp;D, Nightlife Culture institution and next-stage proposition</t>
  </si>
  <si>
    <t xml:space="preserve">Requested</t>
  </si>
  <si>
    <t xml:space="preserve">Core fellowship is fully deliverable through UKDF alone</t>
  </si>
  <si>
    <t xml:space="preserve">Records tagged by work package and phase</t>
  </si>
  <si>
    <t xml:space="preserve">WECA / A Ticket to the Future</t>
  </si>
  <si>
    <t xml:space="preserve">CBS establishment, governance transition and Bristol implementation</t>
  </si>
  <si>
    <t xml:space="preserve">In delivery</t>
  </si>
  <si>
    <t xml:space="preserve">Does not pay for UKDF comparative inquiry, NCVI or Nightlife Culture institutional R&amp;D</t>
  </si>
  <si>
    <t xml:space="preserve">Separate scope, records, outputs and reporting</t>
  </si>
  <si>
    <t xml:space="preserve">ACE</t>
  </si>
  <si>
    <t xml:space="preserve">Potential future research, sector development, resources or organisational capacity where eligible</t>
  </si>
  <si>
    <t xml:space="preserve">Any award extends work through separate scope and governance</t>
  </si>
  <si>
    <t xml:space="preserve">Record only after written confirmation</t>
  </si>
  <si>
    <t xml:space="preserve">Partners</t>
  </si>
  <si>
    <t xml:space="preserve">Potential future access, data, convening, specialist input or cash support</t>
  </si>
  <si>
    <t xml:space="preserve">Core budget does not depend on partner contributions</t>
  </si>
  <si>
    <t xml:space="preserve">Document cash/in-kind before inclusion</t>
  </si>
  <si>
    <t xml:space="preserve">Partner contributions register</t>
  </si>
  <si>
    <t xml:space="preserve">No contribution is treated as confirmed until documented</t>
  </si>
  <si>
    <t xml:space="preserve">Potential contributor</t>
  </si>
  <si>
    <t xml:space="preserve">Potential contribution</t>
  </si>
  <si>
    <t xml:space="preserve">Cash confirmed</t>
  </si>
  <si>
    <t xml:space="preserve">In-kind confirmed value</t>
  </si>
  <si>
    <t xml:space="preserve">Evidence of confirmation</t>
  </si>
  <si>
    <t xml:space="preserve">Application treatment</t>
  </si>
  <si>
    <t xml:space="preserve">Owner</t>
  </si>
  <si>
    <t xml:space="preserve">Arts Council England</t>
  </si>
  <si>
    <t xml:space="preserve">Potential future research or organisational development</t>
  </si>
  <si>
    <t xml:space="preserve">None</t>
  </si>
  <si>
    <t xml:space="preserve">Excluded from core budget</t>
  </si>
  <si>
    <t xml:space="preserve">Carly</t>
  </si>
  <si>
    <t xml:space="preserve">Unconfirmed</t>
  </si>
  <si>
    <t xml:space="preserve">Place case 1</t>
  </si>
  <si>
    <t xml:space="preserve">Access, convening, local knowledge or data</t>
  </si>
  <si>
    <t xml:space="preserve">Select through G1; no value assumed</t>
  </si>
  <si>
    <t xml:space="preserve">Place case 2</t>
  </si>
  <si>
    <t xml:space="preserve">Infrastructure / data partner</t>
  </si>
  <si>
    <t xml:space="preserve">Data access, technical challenge or systems insight</t>
  </si>
  <si>
    <t xml:space="preserve">Future enhancement only</t>
  </si>
  <si>
    <t xml:space="preserve">University / researcher</t>
  </si>
  <si>
    <t xml:space="preserve">Methodological challenge or research collaboration</t>
  </si>
  <si>
    <t xml:space="preserve">Sector body</t>
  </si>
  <si>
    <t xml:space="preserve">Convening, user testing or mobilisation</t>
  </si>
  <si>
    <t xml:space="preserve">Confirmed contributions</t>
  </si>
  <si>
    <t xml:space="preserve">Must remain £0 until evidenced</t>
  </si>
  <si>
    <t xml:space="preserve">Milestones &amp; decision gates</t>
  </si>
  <si>
    <t xml:space="preserve">Evidence-led progression across the 10–12 month programme</t>
  </si>
  <si>
    <t xml:space="preserve">Gate</t>
  </si>
  <si>
    <t xml:space="preserve">Decision</t>
  </si>
  <si>
    <t xml:space="preserve">Evidence required</t>
  </si>
  <si>
    <t xml:space="preserve">Resource decision</t>
  </si>
  <si>
    <t xml:space="preserve">End M2</t>
  </si>
  <si>
    <t xml:space="preserve">Approve scope, cases, ethics and evidence plan</t>
  </si>
  <si>
    <t xml:space="preserve">Questions map to decisions; research burden fits resource; boundaries clear</t>
  </si>
  <si>
    <t xml:space="preserve">Confirm WP2/WP3 specialist and fieldwork scopes</t>
  </si>
  <si>
    <t xml:space="preserve">Carly + adviser</t>
  </si>
  <si>
    <t xml:space="preserve">M4–5</t>
  </si>
  <si>
    <t xml:space="preserve">Confirm or adapt cases and thematic focus</t>
  </si>
  <si>
    <t xml:space="preserve">Contrasting evidence; credible participation; visible people/place pathways</t>
  </si>
  <si>
    <t xml:space="preserve">Adjust access, participation and synthesis support</t>
  </si>
  <si>
    <t xml:space="preserve">M6–7</t>
  </si>
  <si>
    <t xml:space="preserve">Select value and power questions for prototype</t>
  </si>
  <si>
    <t xml:space="preserve">Traceable value flows; stakeholder challenge; user implications</t>
  </si>
  <si>
    <t xml:space="preserve">Confirm WP4 measurement/design inputs</t>
  </si>
  <si>
    <t xml:space="preserve">Carly + specialist</t>
  </si>
  <si>
    <t xml:space="preserve">M7–8</t>
  </si>
  <si>
    <t xml:space="preserve">Choose smallest useful NCVI expression</t>
  </si>
  <si>
    <t xml:space="preserve">Clear users/decisions; feasible data assumptions; ethical and affordable test</t>
  </si>
  <si>
    <t xml:space="preserve">Allocate prototype and technical-feasibility resource</t>
  </si>
  <si>
    <t xml:space="preserve">M9–10</t>
  </si>
  <si>
    <t xml:space="preserve">Confirm offer, partnerships and next-stage route</t>
  </si>
  <si>
    <t xml:space="preserve">Recognisable proposition; safeguards; capability and income pathways</t>
  </si>
  <si>
    <t xml:space="preserve">Confirm institutional and mobilisation inputs</t>
  </si>
  <si>
    <t xml:space="preserve">M11–12</t>
  </si>
  <si>
    <t xml:space="preserve">Approve claims, outputs, cost bands, partners and funding route</t>
  </si>
  <si>
    <t xml:space="preserve">Traceability; user value; honest larger-phase scope; named next decisions</t>
  </si>
  <si>
    <t xml:space="preserve">Close core programme and issue next-stage brief</t>
  </si>
  <si>
    <t xml:space="preserve">Risks &amp; dependencies</t>
  </si>
  <si>
    <t xml:space="preserve">Operational controls for a credible £50,000 fellowship</t>
  </si>
  <si>
    <t xml:space="preserve">ID</t>
  </si>
  <si>
    <t xml:space="preserve">Risk / dependency</t>
  </si>
  <si>
    <t xml:space="preserve">Likelihood</t>
  </si>
  <si>
    <t xml:space="preserve">Impact</t>
  </si>
  <si>
    <t xml:space="preserve">Trigger</t>
  </si>
  <si>
    <t xml:space="preserve">R01</t>
  </si>
  <si>
    <t xml:space="preserve">Founder overload alongside ATTTF / WECA</t>
  </si>
  <si>
    <t xml:space="preserve">Medium</t>
  </si>
  <si>
    <t xml:space="preserve">High</t>
  </si>
  <si>
    <t xml:space="preserve">UKDF phases slip or preparation expands beyond protected capacity</t>
  </si>
  <si>
    <t xml:space="preserve">Monthly capacity review; protect phase outputs; targeted support; intensify after M6</t>
  </si>
  <si>
    <t xml:space="preserve">Monthly</t>
  </si>
  <si>
    <t xml:space="preserve">Open</t>
  </si>
  <si>
    <t xml:space="preserve">R02</t>
  </si>
  <si>
    <t xml:space="preserve">Scope expands into a national research programme</t>
  </si>
  <si>
    <t xml:space="preserve">More places, surveys, national data or impact measurement enter core phase</t>
  </si>
  <si>
    <t xml:space="preserve">Use within/later scope boundary; log extensions as next-phase requirements</t>
  </si>
  <si>
    <t xml:space="preserve">G1/G4</t>
  </si>
  <si>
    <t xml:space="preserve">R03</t>
  </si>
  <si>
    <t xml:space="preserve">Specialist work is under-scoped</t>
  </si>
  <si>
    <t xml:space="preserve">Advice reveals need for substantive research, technical build or legal work</t>
  </si>
  <si>
    <t xml:space="preserve">Short discovery scopes; obtain cost bands; move production to next phase</t>
  </si>
  <si>
    <t xml:space="preserve">Each commission</t>
  </si>
  <si>
    <t xml:space="preserve">R04</t>
  </si>
  <si>
    <t xml:space="preserve">Participation burden or extractive research</t>
  </si>
  <si>
    <t xml:space="preserve">People repeat unpaid accounts without seeing value or influence</t>
  </si>
  <si>
    <t xml:space="preserve">Pay substantial contributions; limit asks; return learning; show decision influence</t>
  </si>
  <si>
    <t xml:space="preserve">G1–G3</t>
  </si>
  <si>
    <t xml:space="preserve">R05</t>
  </si>
  <si>
    <t xml:space="preserve">NCVI promise outruns evidence</t>
  </si>
  <si>
    <t xml:space="preserve">Language shifts from proposed evidence layer to validated index or product</t>
  </si>
  <si>
    <t xml:space="preserve">Canonical definition; prototype only; publish uncertainty and technical next steps</t>
  </si>
  <si>
    <t xml:space="preserve">R06</t>
  </si>
  <si>
    <t xml:space="preserve">Funding boundaries blur</t>
  </si>
  <si>
    <t xml:space="preserve">Low</t>
  </si>
  <si>
    <t xml:space="preserve">ATTTF, WECA, UKDF or future funding share activity without attribution</t>
  </si>
  <si>
    <t xml:space="preserve">Separate scopes, records and outputs; boundary review at every gate</t>
  </si>
  <si>
    <t xml:space="preserve">R07</t>
  </si>
  <si>
    <t xml:space="preserve">Institution remains founder-dependent</t>
  </si>
  <si>
    <t xml:space="preserve">Proposition cannot be carried through partners or specialist capacity</t>
  </si>
  <si>
    <t xml:space="preserve">Repeatable method; safeguards; business shape; capability map</t>
  </si>
  <si>
    <t xml:space="preserve">R08</t>
  </si>
  <si>
    <t xml:space="preserve">Language and proposition drift</t>
  </si>
  <si>
    <t xml:space="preserve">Decks create competing definitions, slogans or method sequences</t>
  </si>
  <si>
    <t xml:space="preserve">Master framework authority; decision log; cross-document audit</t>
  </si>
  <si>
    <t xml:space="preserve">Every version</t>
  </si>
  <si>
    <t xml:space="preserve">Controlled</t>
  </si>
  <si>
    <t xml:space="preserve">Outputs, evidence &amp; new capabilities</t>
  </si>
  <si>
    <t xml:space="preserve">Phase outcomes are defined by what people can do differently</t>
  </si>
  <si>
    <t xml:space="preserve">Audience / capability</t>
  </si>
  <si>
    <t xml:space="preserve">New capability</t>
  </si>
  <si>
    <t xml:space="preserve">Tangible evidence</t>
  </si>
  <si>
    <t xml:space="preserve">Usefulness test</t>
  </si>
  <si>
    <t xml:space="preserve">WP</t>
  </si>
  <si>
    <t xml:space="preserve">Scenes and local advocates</t>
  </si>
  <si>
    <t xml:space="preserve">Identify what creates value, gather evidence, frame shared asks and reach decisions or investment</t>
  </si>
  <si>
    <t xml:space="preserve">Place lens; evidence prompts; prototype/user journeys; accessible synthesis</t>
  </si>
  <si>
    <t xml:space="preserve">Advocates recognise their culture and can identify a practical next action</t>
  </si>
  <si>
    <t xml:space="preserve">WP2/WP4/WP6</t>
  </si>
  <si>
    <t xml:space="preserve">M5–12</t>
  </si>
  <si>
    <t xml:space="preserve">Places</t>
  </si>
  <si>
    <t xml:space="preserve">See the cultural life of the night, the conditions sustaining it and the people carrying its future</t>
  </si>
  <si>
    <t xml:space="preserve">Two cases; people/place pathway; value-flow maps; NCVI evidence architecture</t>
  </si>
  <si>
    <t xml:space="preserve">Place users can identify a decision the evidence improves</t>
  </si>
  <si>
    <t xml:space="preserve">WP2–WP4</t>
  </si>
  <si>
    <t xml:space="preserve">Funders / philanthropy / responsible investors</t>
  </si>
  <si>
    <t xml:space="preserve">Find locally legitimate people and propositions with clearer evidence and routes to impact</t>
  </si>
  <si>
    <t xml:space="preserve">Value-flow learning; user journey; institutional and partnership proposition</t>
  </si>
  <si>
    <t xml:space="preserve">Users can see where investment could strengthen cultural value and agency</t>
  </si>
  <si>
    <t xml:space="preserve">WP3–WP6</t>
  </si>
  <si>
    <t xml:space="preserve">M7–12</t>
  </si>
  <si>
    <t xml:space="preserve">Researchers and sector bodies</t>
  </si>
  <si>
    <t xml:space="preserve">Connect local learning to wider evidence, advocacy and methodological development</t>
  </si>
  <si>
    <t xml:space="preserve">Inquiry architecture; source/evidence map; technical and ethical brief</t>
  </si>
  <si>
    <t xml:space="preserve">Specialist challenge improves claims and next-stage scope</t>
  </si>
  <si>
    <t xml:space="preserve">WP1/WP4/WP6</t>
  </si>
  <si>
    <t xml:space="preserve">M2–12</t>
  </si>
  <si>
    <t xml:space="preserve">Nightlife Culture</t>
  </si>
  <si>
    <t xml:space="preserve">Hold and expand the method through a credible institution</t>
  </si>
  <si>
    <t xml:space="preserve">Method; institutional proposition; business shape; capability/partner map</t>
  </si>
  <si>
    <t xml:space="preserve">Proposition is recognisable, partnerable and less dependent on founder-only delivery</t>
  </si>
  <si>
    <t xml:space="preserve">WP5/WP6</t>
  </si>
  <si>
    <t xml:space="preserve">M10–12</t>
  </si>
  <si>
    <t xml:space="preserve">Field argument</t>
  </si>
  <si>
    <t xml:space="preserve">Explain nightlife as infrastructure for agency, talent and place</t>
  </si>
  <si>
    <t xml:space="preserve">Synthesis grounded in two place cases, ATTTF learning and wider evidence</t>
  </si>
  <si>
    <t xml:space="preserve">Claims are traceable and culturally credible</t>
  </si>
  <si>
    <t xml:space="preserve">Nightlife Cultural Value Index</t>
  </si>
  <si>
    <t xml:space="preserve">Use a proposed shared evidence layer to connect local knowledge with action</t>
  </si>
  <si>
    <t xml:space="preserve">Candidate dimensions; prototype; 6–10 user tests; technical/ethical next-stage brief</t>
  </si>
  <si>
    <t xml:space="preserve">Users see value; limitations and future build are explicit</t>
  </si>
  <si>
    <t xml:space="preserve">WP4/WP6</t>
  </si>
  <si>
    <t xml:space="preserve">Next phase</t>
  </si>
  <si>
    <t xml:space="preserve">Move from tested proposition to larger research, validation, technology and/or rollout</t>
  </si>
  <si>
    <t xml:space="preserve">Cost bands; dependencies; partner map; funding routes</t>
  </si>
  <si>
    <t xml:space="preserve">Scope is honest, investable and does not depend on unconfirmed support</t>
  </si>
  <si>
    <t xml:space="preserve">Decision log</t>
  </si>
  <si>
    <t xml:space="preserve">Material decisions carried into v0.3; v0.2 remains preserved</t>
  </si>
  <si>
    <t xml:space="preserve">Decision area</t>
  </si>
  <si>
    <t xml:space="preserve">Decision / application effect</t>
  </si>
  <si>
    <t xml:space="preserve">Recorded</t>
  </si>
  <si>
    <t xml:space="preserve">D01</t>
  </si>
  <si>
    <t xml:space="preserve">Fellowship architecture</t>
  </si>
  <si>
    <t xml:space="preserve">Retain six distinct work packages beneath five inquiry strands; each has its own question, outcome and gate</t>
  </si>
  <si>
    <t xml:space="preserve">v0.2 retained</t>
  </si>
  <si>
    <t xml:space="preserve">14 Aug 2026</t>
  </si>
  <si>
    <t xml:space="preserve">D02</t>
  </si>
  <si>
    <t xml:space="preserve">Fellowship duration</t>
  </si>
  <si>
    <t xml:space="preserve">Use a 10–12 month window with evidence-led overlap</t>
  </si>
  <si>
    <t xml:space="preserve">Updated in v0.3</t>
  </si>
  <si>
    <t xml:space="preserve">D03</t>
  </si>
  <si>
    <t xml:space="preserve">Founder capacity</t>
  </si>
  <si>
    <t xml:space="preserve">Keep 52 days as an internal sufficiency test only; phase outcomes govern delivery; £500/day only if required</t>
  </si>
  <si>
    <t xml:space="preserve">D04</t>
  </si>
  <si>
    <t xml:space="preserve">Budget ceiling</t>
  </si>
  <si>
    <t xml:space="preserve">Keep the UKDF request at £50,000 and balance the phase budget to that ceiling</t>
  </si>
  <si>
    <t xml:space="preserve">Retained</t>
  </si>
  <si>
    <t xml:space="preserve">D05</t>
  </si>
  <si>
    <t xml:space="preserve">Resource presentation</t>
  </si>
  <si>
    <t xml:space="preserve">Present one flexible programme resource creating Carly’s capacity and buying specialist expertise, participation and activity</t>
  </si>
  <si>
    <t xml:space="preserve">D06</t>
  </si>
  <si>
    <t xml:space="preserve">Research scale</t>
  </si>
  <si>
    <t xml:space="preserve">Two place cases; 18–24 conversations; up to 15 paid substantial contributions; 6–10 prototype users</t>
  </si>
  <si>
    <t xml:space="preserve">Retained/refined</t>
  </si>
  <si>
    <t xml:space="preserve">D07</t>
  </si>
  <si>
    <t xml:space="preserve">Proposed shared evidence layer; hypothesis, prototype and technical brief rather than validated national index or platform</t>
  </si>
  <si>
    <t xml:space="preserve">D08</t>
  </si>
  <si>
    <t xml:space="preserve">ATTTF boundary</t>
  </si>
  <si>
    <t xml:space="preserve">Use ATTTF as evidence/live case; WECA supports CBS and Bristol delivery; UKDF supports transferable inquiry and institution</t>
  </si>
  <si>
    <t xml:space="preserve">D09</t>
  </si>
  <si>
    <t xml:space="preserve">ACE and partner income</t>
  </si>
  <si>
    <t xml:space="preserve">Confirmed ACE, partner cash and partner in-kind all remain £0</t>
  </si>
  <si>
    <t xml:space="preserve">D10</t>
  </si>
  <si>
    <t xml:space="preserve">Application route</t>
  </si>
  <si>
    <t xml:space="preserve">Build unrestricted application narrative first, then edit into main and detailed decks</t>
  </si>
  <si>
    <t xml:space="preserve">D11</t>
  </si>
  <si>
    <t xml:space="preserve">Deck architecture</t>
  </si>
  <si>
    <t xml:space="preserve">Allow a short proposal deck and longer project-plan deck; no imposed 12-slide ceiling</t>
  </si>
  <si>
    <t xml:space="preserve">D12</t>
  </si>
  <si>
    <t xml:space="preserve">Preserve v0.2 and create v0.3 with logged changes</t>
  </si>
  <si>
    <t xml:space="preserve">D13</t>
  </si>
  <si>
    <t xml:space="preserve">Framework authority</t>
  </si>
  <si>
    <t xml:space="preserve">Create one Artists Make Great Places master framework as authority for application, decks, plan and workbook</t>
  </si>
  <si>
    <t xml:space="preserve">New in v0.3</t>
  </si>
  <si>
    <t xml:space="preserve">D14</t>
  </si>
  <si>
    <t xml:space="preserve">Formal studio definition</t>
  </si>
  <si>
    <t xml:space="preserve">Lock the style-guide definition of Nightlife Culture as a creative policy, research and design studio</t>
  </si>
  <si>
    <t xml:space="preserve">D15</t>
  </si>
  <si>
    <t xml:space="preserve">National and local proposition</t>
  </si>
  <si>
    <t xml:space="preserve">Use Nationally relevant infrastructure that increases hyperlocal power; retire the earlier visible slogan</t>
  </si>
  <si>
    <t xml:space="preserve">D16</t>
  </si>
  <si>
    <t xml:space="preserve">Public method</t>
  </si>
  <si>
    <t xml:space="preserve">Use Listen, Map, Ideate, Prototype, Test, Refine, Expand; embed style-guide standards in descriptions</t>
  </si>
  <si>
    <t xml:space="preserve">D17</t>
  </si>
  <si>
    <t xml:space="preserve">Why Carly</t>
  </si>
  <si>
    <t xml:space="preserve">Restore dancefloor / committee room / funder meeting / evidence-base architecture with verified CV proof</t>
  </si>
  <si>
    <t xml:space="preserve">D18</t>
  </si>
  <si>
    <t xml:space="preserve">Positive voice</t>
  </si>
  <si>
    <t xml:space="preserve">Apply Joy → value → evidence → action; put boundaries after proposition and possibility</t>
  </si>
  <si>
    <t xml:space="preserve">D19</t>
  </si>
  <si>
    <t xml:space="preserve">What UKDF moves</t>
  </si>
  <si>
    <t xml:space="preserve">Name missing connective infrastructure between local cultural knowledge and evidence, policy, investment and action</t>
  </si>
  <si>
    <t xml:space="preserve">D20</t>
  </si>
  <si>
    <t xml:space="preserve">ATTTF explanation</t>
  </si>
  <si>
    <t xml:space="preserve">Assume no prior knowledge; explain problem, intervention, ownership route, Carly’s role and WECA-supported delivery</t>
  </si>
  <si>
    <t xml:space="preserve">D21</t>
  </si>
  <si>
    <t xml:space="preserve">Institutional architecture</t>
  </si>
  <si>
    <t xml:space="preserve">Retain paid consultancy, funded research and sector platform as the three-part business shape</t>
  </si>
  <si>
    <t xml:space="preserve">D22</t>
  </si>
  <si>
    <t xml:space="preserve">Capability-led outputs</t>
  </si>
  <si>
    <t xml:space="preserve">Frame outputs as new capabilities for advocates, places, funders and Nightlife Culture</t>
  </si>
  <si>
    <t xml:space="preserve">Source register</t>
  </si>
  <si>
    <t xml:space="preserve">Files and decisions used to consolidate the v0.3 application architecture</t>
  </si>
  <si>
    <t xml:space="preserve">Source</t>
  </si>
  <si>
    <t xml:space="preserve">Version / date</t>
  </si>
  <si>
    <t xml:space="preserve">Location / note</t>
  </si>
  <si>
    <t xml:space="preserve">S01</t>
  </si>
  <si>
    <t xml:space="preserve">Artists Make Great Places master framework and deck copy</t>
  </si>
  <si>
    <t xml:space="preserve">v1.0 / 14 Aug 2026</t>
  </si>
  <si>
    <t xml:space="preserve">Proposition and language authority</t>
  </si>
  <si>
    <t xml:space="preserve">Current</t>
  </si>
  <si>
    <t xml:space="preserve">Created with v0.3 operating materials</t>
  </si>
  <si>
    <t xml:space="preserve">S02</t>
  </si>
  <si>
    <t xml:space="preserve">Nightlife Culture — Style Guide</t>
  </si>
  <si>
    <t xml:space="preserve">v1.0 / Aug 2026</t>
  </si>
  <si>
    <t xml:space="preserve">Brand, voice, formal definition and writing standards</t>
  </si>
  <si>
    <t xml:space="preserve">Expanded style guide</t>
  </si>
  <si>
    <t xml:space="preserve">S03</t>
  </si>
  <si>
    <t xml:space="preserve">Nightlife Culture Working Deck</t>
  </si>
  <si>
    <t xml:space="preserve">Aug 2026</t>
  </si>
  <si>
    <t xml:space="preserve">Method, delivery ecology, Why Carly, NCVI and business shape</t>
  </si>
  <si>
    <t xml:space="preserve">Current reference</t>
  </si>
  <si>
    <t xml:space="preserve">Working deck</t>
  </si>
  <si>
    <t xml:space="preserve">S04</t>
  </si>
  <si>
    <t xml:space="preserve">UKDF Fellowship Proposal — Artists Make Great Places</t>
  </si>
  <si>
    <t xml:space="preserve">v1.1 / Aug 2026</t>
  </si>
  <si>
    <t xml:space="preserve">Most recent pre-consolidation proposal and core thesis</t>
  </si>
  <si>
    <t xml:space="preserve">Historical reference</t>
  </si>
  <si>
    <t xml:space="preserve">UKDF application folder</t>
  </si>
  <si>
    <t xml:space="preserve">S05</t>
  </si>
  <si>
    <t xml:space="preserve">UKDF Fellowship Operating Plan</t>
  </si>
  <si>
    <t xml:space="preserve">v0.2</t>
  </si>
  <si>
    <t xml:space="preserve">Prior red-teamed operating baseline</t>
  </si>
  <si>
    <t xml:space="preserve">Preserved</t>
  </si>
  <si>
    <t xml:space="preserve">Superseded by v0.3</t>
  </si>
  <si>
    <t xml:space="preserve">S06</t>
  </si>
  <si>
    <t xml:space="preserve">UKDF Fellowship Budget &amp; Delivery Workbook</t>
  </si>
  <si>
    <t xml:space="preserve">Prior numerical baseline</t>
  </si>
  <si>
    <t xml:space="preserve">S07</t>
  </si>
  <si>
    <t xml:space="preserve">UKDF pre-application call notes</t>
  </si>
  <si>
    <t xml:space="preserve">24 Jul 2026</t>
  </si>
  <si>
    <t xml:space="preserve">Funder steer on priority use, step change, additionality and movable problem</t>
  </si>
  <si>
    <t xml:space="preserve">Application notes</t>
  </si>
  <si>
    <t xml:space="preserve">S08</t>
  </si>
  <si>
    <t xml:space="preserve">Carly Heath Creative Producer CV</t>
  </si>
  <si>
    <t xml:space="preserve">2026 v2</t>
  </si>
  <si>
    <t xml:space="preserve">Verified founder biography, delivery evidence and awards</t>
  </si>
  <si>
    <t xml:space="preserve">CV PDF</t>
  </si>
  <si>
    <t xml:space="preserve">S09</t>
  </si>
  <si>
    <t xml:space="preserve">BMF Knowledge Base Synthesis</t>
  </si>
  <si>
    <t xml:space="preserve">Jun 2026</t>
  </si>
  <si>
    <t xml:space="preserve">ATTTF method, evidence, governance and delivery journey</t>
  </si>
  <si>
    <t xml:space="preserve">ATTTF knowledge base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</si>
</sst>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"/>
    <numFmt numFmtId="166" formatCode="0"/>
    <numFmt numFmtId="167" formatCode="0%"/>
    <numFmt numFmtId="168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D0D0D"/>
      <name val="Inter"/>
      <family val="0"/>
      <charset val="1"/>
    </font>
    <font>
      <b val="true"/>
      <sz val="18"/>
      <color rgb="FFFFFFFF"/>
      <name val="Archivo"/>
      <family val="0"/>
      <charset val="1"/>
    </font>
    <font>
      <b val="true"/>
      <sz val="11"/>
      <color rgb="FF0D0D0D"/>
      <name val="Inter"/>
      <family val="0"/>
      <charset val="1"/>
    </font>
    <font>
      <i val="true"/>
      <sz val="10"/>
      <color rgb="FF2D2D2D"/>
      <name val="Inter"/>
      <family val="0"/>
      <charset val="1"/>
    </font>
    <font>
      <b val="true"/>
      <sz val="10"/>
      <color rgb="FFFFFFFF"/>
      <name val="Archivo"/>
      <family val="0"/>
      <charset val="1"/>
    </font>
    <font>
      <b val="true"/>
      <sz val="11"/>
      <color rgb="FFFFFFFF"/>
      <name val="Archivo"/>
      <family val="0"/>
      <charset val="1"/>
    </font>
    <font>
      <b val="true"/>
      <sz val="11"/>
      <color rgb="FF0D0D0D"/>
      <name val="Archiv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0D0D"/>
        <bgColor rgb="FF000000"/>
      </patternFill>
    </fill>
    <fill>
      <patternFill patternType="solid">
        <fgColor rgb="FF53E6E5"/>
        <bgColor rgb="FF99CCFF"/>
      </patternFill>
    </fill>
    <fill>
      <patternFill patternType="solid">
        <fgColor rgb="FFFFFFFF"/>
        <bgColor rgb="FFF3F3F3"/>
      </patternFill>
    </fill>
    <fill>
      <patternFill patternType="solid">
        <fgColor rgb="FF0000FF"/>
        <bgColor rgb="FF0000FF"/>
      </patternFill>
    </fill>
    <fill>
      <patternFill patternType="solid">
        <fgColor rgb="FFF3F3F3"/>
        <bgColor rgb="FFFFFFFF"/>
      </patternFill>
    </fill>
    <fill>
      <patternFill patternType="solid">
        <fgColor rgb="FFFFDE6B"/>
        <bgColor rgb="FFFFFF99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ck">
        <color rgb="FF0D0D0D"/>
      </bottom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5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6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2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6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2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6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6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6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6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7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7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6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6" borderId="2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7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3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3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4" fillId="3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4" fillId="3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">
    <dxf>
      <font>
        <b val="1"/>
        <color rgb="FF0D0D0D"/>
      </font>
      <fill>
        <patternFill>
          <bgColor rgb="FFFD7B53"/>
        </patternFill>
      </fill>
    </dxf>
    <dxf>
      <font>
        <b val="1"/>
        <color rgb="FF0D0D0D"/>
      </font>
      <fill>
        <patternFill>
          <bgColor rgb="FFFFDE6B"/>
        </patternFill>
      </fill>
    </dxf>
    <dxf>
      <font>
        <b val="1"/>
        <color rgb="FF0D0D0D"/>
      </font>
      <fill>
        <patternFill>
          <bgColor rgb="FFBDE8C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CCFFFF"/>
      <rgbColor rgb="FF660066"/>
      <rgbColor rgb="FFFD7B53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DE8C8"/>
      <rgbColor rgb="FFFFFF99"/>
      <rgbColor rgb="FF99CCFF"/>
      <rgbColor rgb="FFFF99CC"/>
      <rgbColor rgb="FFCC99FF"/>
      <rgbColor rgb="FFFFDE6B"/>
      <rgbColor rgb="FF3366FF"/>
      <rgbColor rgb="FF53E6E5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D0D0D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72"/>
    <col collapsed="false" customWidth="true" hidden="false" outlineLevel="0" max="3" min="3" style="0" width="3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48"/>
    <col collapsed="false" customWidth="true" hidden="false" outlineLevel="0" max="7" min="7" style="0" width="22"/>
    <col collapsed="false" customWidth="true" hidden="false" outlineLevel="0" max="8" min="8" style="0" width="25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24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</row>
    <row r="6" customFormat="false" ht="9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24" hidden="false" customHeight="true" outlineLevel="0" collapsed="false">
      <c r="A7" s="6" t="s">
        <v>4</v>
      </c>
      <c r="B7" s="6" t="s">
        <v>5</v>
      </c>
      <c r="C7" s="7"/>
      <c r="D7" s="5" t="s">
        <v>6</v>
      </c>
      <c r="E7" s="5"/>
      <c r="F7" s="5"/>
      <c r="G7" s="5"/>
      <c r="H7" s="5"/>
    </row>
    <row r="8" customFormat="false" ht="96.75" hidden="false" customHeight="true" outlineLevel="0" collapsed="false">
      <c r="A8" s="8" t="s">
        <v>7</v>
      </c>
      <c r="B8" s="8" t="s">
        <v>8</v>
      </c>
      <c r="C8" s="4"/>
      <c r="D8" s="9" t="s">
        <v>9</v>
      </c>
      <c r="E8" s="8" t="s">
        <v>10</v>
      </c>
      <c r="F8" s="8" t="s">
        <v>11</v>
      </c>
      <c r="G8" s="8" t="s">
        <v>12</v>
      </c>
      <c r="H8" s="8" t="s">
        <v>13</v>
      </c>
    </row>
    <row r="9" customFormat="false" ht="64.5" hidden="false" customHeight="true" outlineLevel="0" collapsed="false">
      <c r="A9" s="10" t="s">
        <v>14</v>
      </c>
      <c r="B9" s="10" t="s">
        <v>15</v>
      </c>
      <c r="C9" s="4"/>
      <c r="D9" s="9" t="s">
        <v>16</v>
      </c>
      <c r="E9" s="8" t="s">
        <v>17</v>
      </c>
      <c r="F9" s="8" t="s">
        <v>18</v>
      </c>
      <c r="G9" s="8" t="s">
        <v>19</v>
      </c>
      <c r="H9" s="8" t="s">
        <v>20</v>
      </c>
    </row>
    <row r="10" customFormat="false" ht="54" hidden="false" customHeight="true" outlineLevel="0" collapsed="false">
      <c r="A10" s="8" t="s">
        <v>21</v>
      </c>
      <c r="B10" s="8" t="s">
        <v>22</v>
      </c>
      <c r="C10" s="4"/>
      <c r="D10" s="9" t="s">
        <v>23</v>
      </c>
      <c r="E10" s="8" t="s">
        <v>24</v>
      </c>
      <c r="F10" s="8" t="s">
        <v>25</v>
      </c>
      <c r="G10" s="8" t="s">
        <v>26</v>
      </c>
      <c r="H10" s="8" t="s">
        <v>27</v>
      </c>
    </row>
    <row r="11" customFormat="false" ht="86.25" hidden="false" customHeight="true" outlineLevel="0" collapsed="false">
      <c r="A11" s="10" t="s">
        <v>28</v>
      </c>
      <c r="B11" s="10" t="s">
        <v>29</v>
      </c>
      <c r="C11" s="4"/>
      <c r="D11" s="9" t="s">
        <v>30</v>
      </c>
      <c r="E11" s="8" t="s">
        <v>31</v>
      </c>
      <c r="F11" s="8" t="s">
        <v>32</v>
      </c>
      <c r="G11" s="8" t="s">
        <v>26</v>
      </c>
      <c r="H11" s="8" t="s">
        <v>27</v>
      </c>
    </row>
    <row r="12" customFormat="false" ht="42.75" hidden="false" customHeight="true" outlineLevel="0" collapsed="false">
      <c r="A12" s="8" t="s">
        <v>33</v>
      </c>
      <c r="B12" s="8" t="s">
        <v>34</v>
      </c>
      <c r="C12" s="4"/>
      <c r="D12" s="9" t="s">
        <v>35</v>
      </c>
      <c r="E12" s="8" t="s">
        <v>36</v>
      </c>
      <c r="F12" s="8" t="s">
        <v>37</v>
      </c>
      <c r="G12" s="8" t="s">
        <v>38</v>
      </c>
      <c r="H12" s="8" t="s">
        <v>39</v>
      </c>
    </row>
    <row r="13" customFormat="false" ht="32.25" hidden="false" customHeight="true" outlineLevel="0" collapsed="false">
      <c r="A13" s="10" t="s">
        <v>40</v>
      </c>
      <c r="B13" s="10" t="s">
        <v>41</v>
      </c>
      <c r="C13" s="4"/>
      <c r="D13" s="9" t="s">
        <v>42</v>
      </c>
      <c r="E13" s="8" t="s">
        <v>43</v>
      </c>
      <c r="F13" s="8" t="s">
        <v>44</v>
      </c>
      <c r="G13" s="8" t="s">
        <v>38</v>
      </c>
      <c r="H13" s="8" t="s">
        <v>45</v>
      </c>
    </row>
    <row r="14" customFormat="false" ht="24" hidden="false" customHeight="true" outlineLevel="0" collapsed="false">
      <c r="A14" s="11" t="s">
        <v>46</v>
      </c>
      <c r="B14" s="11" t="s">
        <v>47</v>
      </c>
      <c r="C14" s="7"/>
      <c r="D14" s="7"/>
      <c r="E14" s="7"/>
      <c r="F14" s="7"/>
      <c r="G14" s="7"/>
      <c r="H14" s="7"/>
    </row>
  </sheetData>
  <mergeCells count="5">
    <mergeCell ref="A1:H1"/>
    <mergeCell ref="A2:H2"/>
    <mergeCell ref="A3:H3"/>
    <mergeCell ref="A5:H5"/>
    <mergeCell ref="D7:H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0"/>
    <col collapsed="false" customWidth="true" hidden="false" outlineLevel="0" max="4" min="3" style="0" width="20"/>
    <col collapsed="false" customWidth="true" hidden="false" outlineLevel="0" max="5" min="5" style="0" width="21"/>
    <col collapsed="false" customWidth="true" hidden="false" outlineLevel="0" max="7" min="6" style="0" width="28"/>
    <col collapsed="false" customWidth="true" hidden="false" outlineLevel="0" max="8" min="8" style="0" width="34"/>
  </cols>
  <sheetData>
    <row r="1" customFormat="false" ht="30" hidden="false" customHeight="true" outlineLevel="0" collapsed="false">
      <c r="A1" s="1" t="s">
        <v>48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49</v>
      </c>
      <c r="B2" s="2"/>
      <c r="C2" s="2"/>
      <c r="D2" s="2"/>
      <c r="E2" s="2"/>
      <c r="F2" s="2"/>
      <c r="G2" s="2"/>
      <c r="H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42.75" hidden="false" customHeight="true" outlineLevel="0" collapsed="false">
      <c r="A5" s="12" t="s">
        <v>50</v>
      </c>
      <c r="B5" s="13" t="n">
        <f aca="false">Assumptions!C6</f>
        <v>50000</v>
      </c>
      <c r="C5" s="14" t="s">
        <v>51</v>
      </c>
      <c r="D5" s="13" t="n">
        <f aca="false">'Phase Budget'!C13</f>
        <v>50000</v>
      </c>
      <c r="E5" s="14" t="s">
        <v>52</v>
      </c>
      <c r="F5" s="13" t="n">
        <f aca="false">B5-D5</f>
        <v>0</v>
      </c>
      <c r="G5" s="12" t="s">
        <v>28</v>
      </c>
      <c r="H5" s="15" t="s">
        <v>53</v>
      </c>
    </row>
    <row r="6" customFormat="false" ht="42.75" hidden="false" customHeight="true" outlineLevel="0" collapsed="false">
      <c r="A6" s="12" t="s">
        <v>54</v>
      </c>
      <c r="B6" s="13" t="n">
        <f aca="false">Assumptions!C7</f>
        <v>500</v>
      </c>
      <c r="C6" s="14" t="s">
        <v>55</v>
      </c>
      <c r="D6" s="16" t="n">
        <f aca="false">Assumptions!C8</f>
        <v>52</v>
      </c>
      <c r="E6" s="17" t="s">
        <v>56</v>
      </c>
      <c r="F6" s="16" t="n">
        <f aca="false">Assumptions!C12</f>
        <v>2</v>
      </c>
      <c r="G6" s="12" t="s">
        <v>33</v>
      </c>
      <c r="H6" s="13" t="n">
        <f aca="false">SUM(Assumptions!C18:C20)</f>
        <v>0</v>
      </c>
    </row>
    <row r="7" customFormat="false" ht="42.75" hidden="false" customHeight="true" outlineLevel="0" collapsed="false">
      <c r="A7" s="12" t="s">
        <v>57</v>
      </c>
      <c r="B7" s="15" t="s">
        <v>58</v>
      </c>
      <c r="C7" s="12" t="s">
        <v>59</v>
      </c>
      <c r="D7" s="15" t="s">
        <v>60</v>
      </c>
      <c r="E7" s="12" t="s">
        <v>61</v>
      </c>
      <c r="F7" s="15" t="s">
        <v>62</v>
      </c>
      <c r="G7" s="12" t="s">
        <v>63</v>
      </c>
      <c r="H7" s="15" t="s">
        <v>64</v>
      </c>
    </row>
    <row r="8" customFormat="false" ht="24" hidden="false" customHeight="true" outlineLevel="0" collapsed="false">
      <c r="A8" s="6" t="s">
        <v>65</v>
      </c>
      <c r="B8" s="6" t="s">
        <v>66</v>
      </c>
      <c r="C8" s="6" t="s">
        <v>67</v>
      </c>
      <c r="D8" s="6" t="s">
        <v>68</v>
      </c>
      <c r="E8" s="6" t="s">
        <v>69</v>
      </c>
      <c r="F8" s="6" t="s">
        <v>70</v>
      </c>
      <c r="G8" s="6" t="s">
        <v>71</v>
      </c>
      <c r="H8" s="6" t="s">
        <v>72</v>
      </c>
    </row>
    <row r="9" customFormat="false" ht="9" hidden="false" customHeight="true" outlineLevel="0" collapsed="false">
      <c r="A9" s="4"/>
      <c r="B9" s="4"/>
      <c r="C9" s="4"/>
      <c r="D9" s="4"/>
      <c r="E9" s="4"/>
      <c r="F9" s="4"/>
      <c r="G9" s="4"/>
      <c r="H9" s="4"/>
    </row>
    <row r="10" customFormat="false" ht="24" hidden="false" customHeight="true" outlineLevel="0" collapsed="false">
      <c r="A10" s="5" t="s">
        <v>73</v>
      </c>
      <c r="B10" s="5"/>
      <c r="C10" s="5"/>
      <c r="D10" s="5"/>
      <c r="E10" s="5"/>
      <c r="F10" s="5"/>
      <c r="G10" s="5"/>
      <c r="H10" s="5"/>
    </row>
    <row r="11" customFormat="false" ht="24" hidden="false" customHeight="true" outlineLevel="0" collapsed="false">
      <c r="A11" s="6" t="s">
        <v>74</v>
      </c>
      <c r="B11" s="6" t="s">
        <v>75</v>
      </c>
      <c r="C11" s="6" t="s">
        <v>76</v>
      </c>
      <c r="D11" s="6" t="s">
        <v>77</v>
      </c>
      <c r="E11" s="7"/>
      <c r="F11" s="6" t="s">
        <v>4</v>
      </c>
      <c r="G11" s="6" t="s">
        <v>78</v>
      </c>
      <c r="H11" s="6" t="s">
        <v>79</v>
      </c>
    </row>
    <row r="12" customFormat="false" ht="42.75" hidden="false" customHeight="true" outlineLevel="0" collapsed="false">
      <c r="A12" s="8" t="s">
        <v>80</v>
      </c>
      <c r="B12" s="8" t="s">
        <v>81</v>
      </c>
      <c r="C12" s="18" t="n">
        <f aca="false">'Phase Budget'!C6</f>
        <v>6000</v>
      </c>
      <c r="D12" s="19" t="n">
        <f aca="false">'Phase Budget'!D6</f>
        <v>0.12</v>
      </c>
      <c r="E12" s="4"/>
      <c r="F12" s="8" t="s">
        <v>82</v>
      </c>
      <c r="G12" s="8" t="s">
        <v>83</v>
      </c>
      <c r="H12" s="8" t="s">
        <v>84</v>
      </c>
    </row>
    <row r="13" customFormat="false" ht="54" hidden="false" customHeight="true" outlineLevel="0" collapsed="false">
      <c r="A13" s="10" t="s">
        <v>85</v>
      </c>
      <c r="B13" s="10" t="s">
        <v>86</v>
      </c>
      <c r="C13" s="20" t="n">
        <f aca="false">'Phase Budget'!C7</f>
        <v>9000</v>
      </c>
      <c r="D13" s="21" t="n">
        <f aca="false">'Phase Budget'!D7</f>
        <v>0.18</v>
      </c>
      <c r="E13" s="4"/>
      <c r="F13" s="10" t="s">
        <v>87</v>
      </c>
      <c r="G13" s="10" t="s">
        <v>88</v>
      </c>
      <c r="H13" s="10" t="s">
        <v>89</v>
      </c>
    </row>
    <row r="14" customFormat="false" ht="42.75" hidden="false" customHeight="true" outlineLevel="0" collapsed="false">
      <c r="A14" s="8" t="s">
        <v>90</v>
      </c>
      <c r="B14" s="8" t="s">
        <v>91</v>
      </c>
      <c r="C14" s="18" t="n">
        <f aca="false">'Phase Budget'!C8</f>
        <v>8000</v>
      </c>
      <c r="D14" s="19" t="n">
        <f aca="false">'Phase Budget'!D8</f>
        <v>0.16</v>
      </c>
      <c r="E14" s="4"/>
      <c r="F14" s="8" t="s">
        <v>92</v>
      </c>
      <c r="G14" s="8" t="s">
        <v>93</v>
      </c>
      <c r="H14" s="8" t="s">
        <v>94</v>
      </c>
    </row>
    <row r="15" customFormat="false" ht="64.5" hidden="false" customHeight="true" outlineLevel="0" collapsed="false">
      <c r="A15" s="10" t="s">
        <v>95</v>
      </c>
      <c r="B15" s="10" t="s">
        <v>96</v>
      </c>
      <c r="C15" s="20" t="n">
        <f aca="false">'Phase Budget'!C9</f>
        <v>11000</v>
      </c>
      <c r="D15" s="21" t="n">
        <f aca="false">'Phase Budget'!D9</f>
        <v>0.22</v>
      </c>
      <c r="E15" s="4"/>
      <c r="F15" s="10" t="s">
        <v>97</v>
      </c>
      <c r="G15" s="10" t="s">
        <v>98</v>
      </c>
      <c r="H15" s="10" t="s">
        <v>99</v>
      </c>
    </row>
    <row r="16" customFormat="false" ht="75" hidden="false" customHeight="true" outlineLevel="0" collapsed="false">
      <c r="A16" s="8" t="s">
        <v>100</v>
      </c>
      <c r="B16" s="8" t="s">
        <v>101</v>
      </c>
      <c r="C16" s="18" t="n">
        <f aca="false">'Phase Budget'!C10</f>
        <v>7000</v>
      </c>
      <c r="D16" s="19" t="n">
        <f aca="false">'Phase Budget'!D10</f>
        <v>0.14</v>
      </c>
      <c r="E16" s="4"/>
      <c r="F16" s="8" t="s">
        <v>67</v>
      </c>
      <c r="G16" s="8" t="s">
        <v>102</v>
      </c>
      <c r="H16" s="8" t="s">
        <v>103</v>
      </c>
    </row>
    <row r="17" customFormat="false" ht="86.25" hidden="false" customHeight="true" outlineLevel="0" collapsed="false">
      <c r="A17" s="10" t="s">
        <v>104</v>
      </c>
      <c r="B17" s="10" t="s">
        <v>105</v>
      </c>
      <c r="C17" s="20" t="n">
        <f aca="false">'Phase Budget'!C11</f>
        <v>6000</v>
      </c>
      <c r="D17" s="21" t="n">
        <f aca="false">'Phase Budget'!D11</f>
        <v>0.12</v>
      </c>
      <c r="E17" s="4"/>
      <c r="F17" s="10" t="s">
        <v>106</v>
      </c>
      <c r="G17" s="10" t="s">
        <v>107</v>
      </c>
      <c r="H17" s="10" t="s">
        <v>108</v>
      </c>
    </row>
    <row r="18" customFormat="false" ht="32.25" hidden="false" customHeight="true" outlineLevel="0" collapsed="false">
      <c r="A18" s="8" t="s">
        <v>109</v>
      </c>
      <c r="B18" s="8" t="s">
        <v>110</v>
      </c>
      <c r="C18" s="18" t="n">
        <f aca="false">'Phase Budget'!C12</f>
        <v>3000</v>
      </c>
      <c r="D18" s="19" t="n">
        <f aca="false">'Phase Budget'!D12</f>
        <v>0.06</v>
      </c>
      <c r="E18" s="4"/>
      <c r="F18" s="4"/>
      <c r="G18" s="4"/>
      <c r="H18" s="4"/>
    </row>
    <row r="19" customFormat="false" ht="21" hidden="false" customHeight="true" outlineLevel="0" collapsed="false">
      <c r="A19" s="22" t="s">
        <v>111</v>
      </c>
      <c r="B19" s="22" t="s">
        <v>112</v>
      </c>
      <c r="C19" s="23" t="n">
        <f aca="false">'Phase Budget'!C13</f>
        <v>50000</v>
      </c>
      <c r="D19" s="24" t="n">
        <f aca="false">'Phase Budget'!D13</f>
        <v>1</v>
      </c>
      <c r="E19" s="25"/>
      <c r="F19" s="25"/>
      <c r="G19" s="25"/>
      <c r="H19" s="25"/>
    </row>
  </sheetData>
  <mergeCells count="5">
    <mergeCell ref="A1:H1"/>
    <mergeCell ref="A2:H2"/>
    <mergeCell ref="A3:H3"/>
    <mergeCell ref="A10:H10"/>
    <mergeCell ref="F10:H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9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47"/>
  </cols>
  <sheetData>
    <row r="1" customFormat="false" ht="30" hidden="false" customHeight="true" outlineLevel="0" collapsed="false">
      <c r="A1" s="1" t="s">
        <v>113</v>
      </c>
      <c r="B1" s="1"/>
      <c r="C1" s="1"/>
      <c r="D1" s="1"/>
      <c r="E1" s="1"/>
    </row>
    <row r="2" customFormat="false" ht="22.5" hidden="false" customHeight="true" outlineLevel="0" collapsed="false">
      <c r="A2" s="2" t="s">
        <v>114</v>
      </c>
      <c r="B2" s="2"/>
      <c r="C2" s="2"/>
      <c r="D2" s="2"/>
      <c r="E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9" hidden="false" customHeight="true" outlineLevel="0" collapsed="false">
      <c r="A4" s="4"/>
      <c r="B4" s="4"/>
      <c r="C4" s="4"/>
      <c r="D4" s="4"/>
      <c r="E4" s="4"/>
    </row>
    <row r="5" customFormat="false" ht="24" hidden="false" customHeight="true" outlineLevel="0" collapsed="false">
      <c r="A5" s="6" t="s">
        <v>115</v>
      </c>
      <c r="B5" s="6" t="s">
        <v>116</v>
      </c>
      <c r="C5" s="6" t="s">
        <v>117</v>
      </c>
      <c r="D5" s="6" t="s">
        <v>118</v>
      </c>
      <c r="E5" s="6" t="s">
        <v>119</v>
      </c>
    </row>
    <row r="6" customFormat="false" ht="21" hidden="false" customHeight="true" outlineLevel="0" collapsed="false">
      <c r="A6" s="8" t="s">
        <v>109</v>
      </c>
      <c r="B6" s="8" t="s">
        <v>50</v>
      </c>
      <c r="C6" s="26" t="n">
        <v>50000</v>
      </c>
      <c r="D6" s="8" t="s">
        <v>120</v>
      </c>
      <c r="E6" s="8" t="s">
        <v>121</v>
      </c>
    </row>
    <row r="7" customFormat="false" ht="42.75" hidden="false" customHeight="true" outlineLevel="0" collapsed="false">
      <c r="A7" s="10" t="s">
        <v>122</v>
      </c>
      <c r="B7" s="10" t="s">
        <v>123</v>
      </c>
      <c r="C7" s="26" t="n">
        <v>500</v>
      </c>
      <c r="D7" s="10" t="s">
        <v>124</v>
      </c>
      <c r="E7" s="10" t="s">
        <v>125</v>
      </c>
    </row>
    <row r="8" customFormat="false" ht="32.25" hidden="false" customHeight="true" outlineLevel="0" collapsed="false">
      <c r="A8" s="8" t="s">
        <v>122</v>
      </c>
      <c r="B8" s="8" t="s">
        <v>126</v>
      </c>
      <c r="C8" s="27" t="n">
        <v>52</v>
      </c>
      <c r="D8" s="8" t="s">
        <v>127</v>
      </c>
      <c r="E8" s="8" t="s">
        <v>128</v>
      </c>
    </row>
    <row r="9" customFormat="false" ht="32.25" hidden="false" customHeight="true" outlineLevel="0" collapsed="false">
      <c r="A9" s="10" t="s">
        <v>129</v>
      </c>
      <c r="B9" s="10" t="s">
        <v>130</v>
      </c>
      <c r="C9" s="27" t="n">
        <v>10</v>
      </c>
      <c r="D9" s="10" t="s">
        <v>131</v>
      </c>
      <c r="E9" s="10" t="s">
        <v>132</v>
      </c>
    </row>
    <row r="10" customFormat="false" ht="32.25" hidden="false" customHeight="true" outlineLevel="0" collapsed="false">
      <c r="A10" s="8" t="s">
        <v>129</v>
      </c>
      <c r="B10" s="8" t="s">
        <v>133</v>
      </c>
      <c r="C10" s="27" t="n">
        <v>12</v>
      </c>
      <c r="D10" s="8" t="s">
        <v>131</v>
      </c>
      <c r="E10" s="8" t="s">
        <v>132</v>
      </c>
    </row>
    <row r="11" customFormat="false" ht="54" hidden="false" customHeight="true" outlineLevel="0" collapsed="false">
      <c r="A11" s="10" t="s">
        <v>134</v>
      </c>
      <c r="B11" s="10" t="s">
        <v>135</v>
      </c>
      <c r="C11" s="27" t="n">
        <v>3</v>
      </c>
      <c r="D11" s="10" t="s">
        <v>136</v>
      </c>
      <c r="E11" s="10" t="s">
        <v>137</v>
      </c>
    </row>
    <row r="12" customFormat="false" ht="32.25" hidden="false" customHeight="true" outlineLevel="0" collapsed="false">
      <c r="A12" s="8" t="s">
        <v>138</v>
      </c>
      <c r="B12" s="8" t="s">
        <v>56</v>
      </c>
      <c r="C12" s="27" t="n">
        <v>2</v>
      </c>
      <c r="D12" s="8" t="s">
        <v>139</v>
      </c>
      <c r="E12" s="8" t="s">
        <v>140</v>
      </c>
    </row>
    <row r="13" customFormat="false" ht="42.75" hidden="false" customHeight="true" outlineLevel="0" collapsed="false">
      <c r="A13" s="10" t="s">
        <v>138</v>
      </c>
      <c r="B13" s="10" t="s">
        <v>141</v>
      </c>
      <c r="C13" s="27" t="n">
        <v>18</v>
      </c>
      <c r="D13" s="10" t="s">
        <v>142</v>
      </c>
      <c r="E13" s="10" t="s">
        <v>143</v>
      </c>
    </row>
    <row r="14" customFormat="false" ht="42.75" hidden="false" customHeight="true" outlineLevel="0" collapsed="false">
      <c r="A14" s="8" t="s">
        <v>138</v>
      </c>
      <c r="B14" s="8" t="s">
        <v>144</v>
      </c>
      <c r="C14" s="27" t="n">
        <v>24</v>
      </c>
      <c r="D14" s="8" t="s">
        <v>142</v>
      </c>
      <c r="E14" s="8" t="s">
        <v>143</v>
      </c>
    </row>
    <row r="15" customFormat="false" ht="64.5" hidden="false" customHeight="true" outlineLevel="0" collapsed="false">
      <c r="A15" s="10" t="s">
        <v>145</v>
      </c>
      <c r="B15" s="10" t="s">
        <v>146</v>
      </c>
      <c r="C15" s="27" t="n">
        <v>15</v>
      </c>
      <c r="D15" s="10" t="s">
        <v>147</v>
      </c>
      <c r="E15" s="10" t="s">
        <v>148</v>
      </c>
    </row>
    <row r="16" customFormat="false" ht="32.25" hidden="false" customHeight="true" outlineLevel="0" collapsed="false">
      <c r="A16" s="8" t="s">
        <v>149</v>
      </c>
      <c r="B16" s="8" t="s">
        <v>150</v>
      </c>
      <c r="C16" s="27" t="n">
        <v>6</v>
      </c>
      <c r="D16" s="8" t="s">
        <v>151</v>
      </c>
      <c r="E16" s="8" t="s">
        <v>152</v>
      </c>
    </row>
    <row r="17" customFormat="false" ht="32.25" hidden="false" customHeight="true" outlineLevel="0" collapsed="false">
      <c r="A17" s="10" t="s">
        <v>149</v>
      </c>
      <c r="B17" s="10" t="s">
        <v>153</v>
      </c>
      <c r="C17" s="27" t="n">
        <v>10</v>
      </c>
      <c r="D17" s="10" t="s">
        <v>151</v>
      </c>
      <c r="E17" s="10" t="s">
        <v>152</v>
      </c>
    </row>
    <row r="18" customFormat="false" ht="32.25" hidden="false" customHeight="true" outlineLevel="0" collapsed="false">
      <c r="A18" s="8" t="s">
        <v>154</v>
      </c>
      <c r="B18" s="8" t="s">
        <v>155</v>
      </c>
      <c r="C18" s="26" t="n">
        <v>0</v>
      </c>
      <c r="D18" s="8" t="s">
        <v>120</v>
      </c>
      <c r="E18" s="8" t="s">
        <v>156</v>
      </c>
    </row>
    <row r="19" customFormat="false" ht="32.25" hidden="false" customHeight="true" outlineLevel="0" collapsed="false">
      <c r="A19" s="10" t="s">
        <v>154</v>
      </c>
      <c r="B19" s="10" t="s">
        <v>157</v>
      </c>
      <c r="C19" s="26" t="n">
        <v>0</v>
      </c>
      <c r="D19" s="10" t="s">
        <v>120</v>
      </c>
      <c r="E19" s="10" t="s">
        <v>156</v>
      </c>
    </row>
    <row r="20" customFormat="false" ht="42.75" hidden="false" customHeight="true" outlineLevel="0" collapsed="false">
      <c r="A20" s="8" t="s">
        <v>154</v>
      </c>
      <c r="B20" s="8" t="s">
        <v>158</v>
      </c>
      <c r="C20" s="26" t="n">
        <v>0</v>
      </c>
      <c r="D20" s="8" t="s">
        <v>120</v>
      </c>
      <c r="E20" s="8" t="s">
        <v>156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2"/>
    <col collapsed="false" customWidth="true" hidden="false" outlineLevel="0" max="3" min="3" style="0" width="40"/>
    <col collapsed="false" customWidth="true" hidden="false" outlineLevel="0" max="4" min="4" style="0" width="14"/>
    <col collapsed="false" customWidth="true" hidden="false" outlineLevel="0" max="5" min="5" style="0" width="58"/>
    <col collapsed="false" customWidth="true" hidden="false" outlineLevel="0" max="6" min="6" style="0" width="55"/>
    <col collapsed="false" customWidth="true" hidden="false" outlineLevel="0" max="7" min="7" style="0" width="30"/>
  </cols>
  <sheetData>
    <row r="1" customFormat="false" ht="30" hidden="false" customHeight="true" outlineLevel="0" collapsed="false">
      <c r="A1" s="1" t="s">
        <v>159</v>
      </c>
      <c r="B1" s="1"/>
      <c r="C1" s="1"/>
      <c r="D1" s="1"/>
      <c r="E1" s="1"/>
      <c r="F1" s="1"/>
      <c r="G1" s="1"/>
    </row>
    <row r="2" customFormat="false" ht="22.5" hidden="false" customHeight="true" outlineLevel="0" collapsed="false">
      <c r="A2" s="2" t="s">
        <v>160</v>
      </c>
      <c r="B2" s="2"/>
      <c r="C2" s="2"/>
      <c r="D2" s="2"/>
      <c r="E2" s="2"/>
      <c r="F2" s="2"/>
      <c r="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24" hidden="false" customHeight="true" outlineLevel="0" collapsed="false">
      <c r="A5" s="6" t="s">
        <v>74</v>
      </c>
      <c r="B5" s="6" t="s">
        <v>75</v>
      </c>
      <c r="C5" s="6" t="s">
        <v>161</v>
      </c>
      <c r="D5" s="6" t="s">
        <v>162</v>
      </c>
      <c r="E5" s="6" t="s">
        <v>163</v>
      </c>
      <c r="F5" s="6" t="s">
        <v>164</v>
      </c>
      <c r="G5" s="6" t="s">
        <v>165</v>
      </c>
    </row>
    <row r="6" customFormat="false" ht="24" hidden="false" customHeight="true" outlineLevel="0" collapsed="false">
      <c r="A6" s="11" t="s">
        <v>80</v>
      </c>
      <c r="B6" s="11" t="s">
        <v>81</v>
      </c>
      <c r="C6" s="11" t="s">
        <v>166</v>
      </c>
      <c r="D6" s="11" t="s">
        <v>167</v>
      </c>
      <c r="E6" s="11" t="s">
        <v>168</v>
      </c>
      <c r="F6" s="11" t="s">
        <v>169</v>
      </c>
      <c r="G6" s="11" t="s">
        <v>170</v>
      </c>
    </row>
    <row r="7" customFormat="false" ht="24" hidden="false" customHeight="true" outlineLevel="0" collapsed="false">
      <c r="A7" s="11" t="s">
        <v>85</v>
      </c>
      <c r="B7" s="11" t="s">
        <v>86</v>
      </c>
      <c r="C7" s="11" t="s">
        <v>171</v>
      </c>
      <c r="D7" s="11" t="s">
        <v>172</v>
      </c>
      <c r="E7" s="11" t="s">
        <v>173</v>
      </c>
      <c r="F7" s="11" t="s">
        <v>174</v>
      </c>
      <c r="G7" s="11" t="s">
        <v>175</v>
      </c>
    </row>
    <row r="8" customFormat="false" ht="24" hidden="false" customHeight="true" outlineLevel="0" collapsed="false">
      <c r="A8" s="11" t="s">
        <v>90</v>
      </c>
      <c r="B8" s="11" t="s">
        <v>91</v>
      </c>
      <c r="C8" s="11" t="s">
        <v>91</v>
      </c>
      <c r="D8" s="11" t="s">
        <v>176</v>
      </c>
      <c r="E8" s="11" t="s">
        <v>177</v>
      </c>
      <c r="F8" s="11" t="s">
        <v>178</v>
      </c>
      <c r="G8" s="11" t="s">
        <v>179</v>
      </c>
    </row>
    <row r="9" customFormat="false" ht="24" hidden="false" customHeight="true" outlineLevel="0" collapsed="false">
      <c r="A9" s="11" t="s">
        <v>95</v>
      </c>
      <c r="B9" s="11" t="s">
        <v>96</v>
      </c>
      <c r="C9" s="11" t="s">
        <v>96</v>
      </c>
      <c r="D9" s="11" t="s">
        <v>180</v>
      </c>
      <c r="E9" s="11" t="s">
        <v>181</v>
      </c>
      <c r="F9" s="11" t="s">
        <v>182</v>
      </c>
      <c r="G9" s="11" t="s">
        <v>183</v>
      </c>
    </row>
    <row r="10" customFormat="false" ht="86.25" hidden="false" customHeight="true" outlineLevel="0" collapsed="false">
      <c r="A10" s="8" t="s">
        <v>100</v>
      </c>
      <c r="B10" s="8" t="s">
        <v>101</v>
      </c>
      <c r="C10" s="8" t="s">
        <v>184</v>
      </c>
      <c r="D10" s="8" t="s">
        <v>185</v>
      </c>
      <c r="E10" s="8" t="s">
        <v>186</v>
      </c>
      <c r="F10" s="8" t="s">
        <v>187</v>
      </c>
      <c r="G10" s="8" t="s">
        <v>188</v>
      </c>
    </row>
    <row r="11" customFormat="false" ht="24" hidden="false" customHeight="true" outlineLevel="0" collapsed="false">
      <c r="A11" s="11" t="s">
        <v>104</v>
      </c>
      <c r="B11" s="11" t="s">
        <v>105</v>
      </c>
      <c r="C11" s="11" t="s">
        <v>166</v>
      </c>
      <c r="D11" s="11" t="s">
        <v>189</v>
      </c>
      <c r="E11" s="11" t="s">
        <v>190</v>
      </c>
      <c r="F11" s="11" t="s">
        <v>191</v>
      </c>
      <c r="G11" s="11" t="s">
        <v>192</v>
      </c>
    </row>
    <row r="12" customFormat="false" ht="24" hidden="false" customHeight="true" outlineLevel="0" collapsed="false">
      <c r="A12" s="11" t="s">
        <v>109</v>
      </c>
      <c r="B12" s="11" t="s">
        <v>110</v>
      </c>
      <c r="C12" s="11" t="s">
        <v>166</v>
      </c>
      <c r="D12" s="11" t="s">
        <v>193</v>
      </c>
      <c r="E12" s="11" t="s">
        <v>194</v>
      </c>
      <c r="F12" s="11" t="s">
        <v>195</v>
      </c>
      <c r="G12" s="11" t="s">
        <v>196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1"/>
    <col collapsed="false" customWidth="true" hidden="false" outlineLevel="0" max="13" min="2" style="0" width="8"/>
    <col collapsed="false" customWidth="true" hidden="false" outlineLevel="0" max="14" min="14" style="0" width="39"/>
  </cols>
  <sheetData>
    <row r="1" customFormat="false" ht="30" hidden="false" customHeight="true" outlineLevel="0" collapsed="false">
      <c r="A1" s="1" t="s">
        <v>197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2.5" hidden="false" customHeight="true" outlineLevel="0" collapsed="false">
      <c r="A2" s="2" t="s">
        <v>198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24" hidden="false" customHeight="true" outlineLevel="0" collapsed="false">
      <c r="A5" s="6" t="s">
        <v>75</v>
      </c>
      <c r="B5" s="6" t="s">
        <v>199</v>
      </c>
      <c r="C5" s="6" t="s">
        <v>200</v>
      </c>
      <c r="D5" s="6" t="s">
        <v>201</v>
      </c>
      <c r="E5" s="6" t="s">
        <v>202</v>
      </c>
      <c r="F5" s="6" t="s">
        <v>203</v>
      </c>
      <c r="G5" s="6" t="s">
        <v>204</v>
      </c>
      <c r="H5" s="6" t="s">
        <v>205</v>
      </c>
      <c r="I5" s="6" t="s">
        <v>206</v>
      </c>
      <c r="J5" s="6" t="s">
        <v>207</v>
      </c>
      <c r="K5" s="6" t="s">
        <v>208</v>
      </c>
      <c r="L5" s="6" t="s">
        <v>209</v>
      </c>
      <c r="M5" s="6" t="s">
        <v>210</v>
      </c>
      <c r="N5" s="6" t="s">
        <v>211</v>
      </c>
    </row>
    <row r="6" customFormat="false" ht="21" hidden="false" customHeight="true" outlineLevel="0" collapsed="false">
      <c r="A6" s="8" t="s">
        <v>212</v>
      </c>
      <c r="B6" s="28" t="s">
        <v>213</v>
      </c>
      <c r="C6" s="28" t="s">
        <v>213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8" t="s">
        <v>200</v>
      </c>
    </row>
    <row r="7" customFormat="false" ht="32.25" hidden="false" customHeight="true" outlineLevel="0" collapsed="false">
      <c r="A7" s="10" t="s">
        <v>214</v>
      </c>
      <c r="B7" s="29"/>
      <c r="C7" s="29" t="s">
        <v>213</v>
      </c>
      <c r="D7" s="29" t="s">
        <v>213</v>
      </c>
      <c r="E7" s="29" t="s">
        <v>213</v>
      </c>
      <c r="F7" s="29" t="s">
        <v>213</v>
      </c>
      <c r="G7" s="29"/>
      <c r="H7" s="29"/>
      <c r="I7" s="29"/>
      <c r="J7" s="29"/>
      <c r="K7" s="29"/>
      <c r="L7" s="29"/>
      <c r="M7" s="29"/>
      <c r="N7" s="10" t="s">
        <v>203</v>
      </c>
    </row>
    <row r="8" customFormat="false" ht="24" hidden="false" customHeight="true" outlineLevel="0" collapsed="false">
      <c r="A8" s="11" t="s">
        <v>215</v>
      </c>
      <c r="B8" s="30"/>
      <c r="C8" s="30"/>
      <c r="D8" s="30" t="s">
        <v>213</v>
      </c>
      <c r="E8" s="30" t="s">
        <v>213</v>
      </c>
      <c r="F8" s="30" t="s">
        <v>213</v>
      </c>
      <c r="G8" s="30" t="s">
        <v>213</v>
      </c>
      <c r="H8" s="30" t="s">
        <v>213</v>
      </c>
      <c r="I8" s="30"/>
      <c r="J8" s="30"/>
      <c r="K8" s="30"/>
      <c r="L8" s="30"/>
      <c r="M8" s="30"/>
      <c r="N8" s="11" t="s">
        <v>205</v>
      </c>
    </row>
    <row r="9" customFormat="false" ht="21" hidden="false" customHeight="true" outlineLevel="0" collapsed="false">
      <c r="A9" s="10" t="s">
        <v>216</v>
      </c>
      <c r="B9" s="29"/>
      <c r="C9" s="29"/>
      <c r="D9" s="29"/>
      <c r="E9" s="29"/>
      <c r="F9" s="29" t="s">
        <v>213</v>
      </c>
      <c r="G9" s="29" t="s">
        <v>213</v>
      </c>
      <c r="H9" s="29" t="s">
        <v>213</v>
      </c>
      <c r="I9" s="29" t="s">
        <v>213</v>
      </c>
      <c r="J9" s="29" t="s">
        <v>213</v>
      </c>
      <c r="K9" s="29"/>
      <c r="L9" s="29"/>
      <c r="M9" s="29"/>
      <c r="N9" s="10" t="s">
        <v>207</v>
      </c>
    </row>
    <row r="10" customFormat="false" ht="21" hidden="false" customHeight="true" outlineLevel="0" collapsed="false">
      <c r="A10" s="8" t="s">
        <v>217</v>
      </c>
      <c r="B10" s="28"/>
      <c r="C10" s="28"/>
      <c r="D10" s="28"/>
      <c r="E10" s="28"/>
      <c r="F10" s="28"/>
      <c r="G10" s="28"/>
      <c r="H10" s="28" t="s">
        <v>213</v>
      </c>
      <c r="I10" s="28" t="s">
        <v>213</v>
      </c>
      <c r="J10" s="28" t="s">
        <v>213</v>
      </c>
      <c r="K10" s="28" t="s">
        <v>213</v>
      </c>
      <c r="L10" s="28"/>
      <c r="M10" s="28"/>
      <c r="N10" s="8" t="s">
        <v>208</v>
      </c>
    </row>
    <row r="11" customFormat="false" ht="21" hidden="false" customHeight="true" outlineLevel="0" collapsed="false">
      <c r="A11" s="10" t="s">
        <v>218</v>
      </c>
      <c r="B11" s="29"/>
      <c r="C11" s="29"/>
      <c r="D11" s="29"/>
      <c r="E11" s="29"/>
      <c r="F11" s="29"/>
      <c r="G11" s="29"/>
      <c r="H11" s="29"/>
      <c r="I11" s="29"/>
      <c r="J11" s="29" t="s">
        <v>213</v>
      </c>
      <c r="K11" s="29" t="s">
        <v>213</v>
      </c>
      <c r="L11" s="29" t="s">
        <v>213</v>
      </c>
      <c r="M11" s="29" t="s">
        <v>213</v>
      </c>
      <c r="N11" s="10" t="s">
        <v>210</v>
      </c>
    </row>
    <row r="12" customFormat="false" ht="15" hidden="false" customHeight="true" outlineLevel="0" collapsed="false">
      <c r="A12" s="8" t="s">
        <v>219</v>
      </c>
      <c r="B12" s="28" t="s">
        <v>213</v>
      </c>
      <c r="C12" s="28" t="s">
        <v>213</v>
      </c>
      <c r="D12" s="28" t="s">
        <v>213</v>
      </c>
      <c r="E12" s="28" t="s">
        <v>213</v>
      </c>
      <c r="F12" s="28" t="s">
        <v>213</v>
      </c>
      <c r="G12" s="28" t="s">
        <v>213</v>
      </c>
      <c r="H12" s="28" t="s">
        <v>213</v>
      </c>
      <c r="I12" s="28" t="s">
        <v>213</v>
      </c>
      <c r="J12" s="28" t="s">
        <v>213</v>
      </c>
      <c r="K12" s="28" t="s">
        <v>213</v>
      </c>
      <c r="L12" s="28" t="s">
        <v>213</v>
      </c>
      <c r="M12" s="28" t="s">
        <v>213</v>
      </c>
      <c r="N12" s="8" t="s">
        <v>210</v>
      </c>
    </row>
    <row r="13" customFormat="false" ht="9" hidden="false" customHeight="tru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customFormat="false" ht="9" hidden="false" customHeight="tru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customFormat="false" ht="24" hidden="false" customHeight="true" outlineLevel="0" collapsed="false">
      <c r="A15" s="5" t="s">
        <v>220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</row>
    <row r="16" customFormat="false" ht="30" hidden="false" customHeight="true" outlineLevel="0" collapsed="false">
      <c r="A16" s="31" t="s">
        <v>221</v>
      </c>
      <c r="B16" s="31" t="s">
        <v>199</v>
      </c>
      <c r="C16" s="31" t="s">
        <v>200</v>
      </c>
      <c r="D16" s="31" t="s">
        <v>201</v>
      </c>
      <c r="E16" s="31" t="s">
        <v>202</v>
      </c>
      <c r="F16" s="31" t="s">
        <v>203</v>
      </c>
      <c r="G16" s="31" t="s">
        <v>204</v>
      </c>
      <c r="H16" s="31" t="s">
        <v>205</v>
      </c>
      <c r="I16" s="31" t="s">
        <v>206</v>
      </c>
      <c r="J16" s="31" t="s">
        <v>207</v>
      </c>
      <c r="K16" s="31" t="s">
        <v>208</v>
      </c>
      <c r="L16" s="31" t="s">
        <v>209</v>
      </c>
      <c r="M16" s="31" t="s">
        <v>210</v>
      </c>
      <c r="N16" s="31" t="s">
        <v>222</v>
      </c>
    </row>
    <row r="17" customFormat="false" ht="32.25" hidden="false" customHeight="true" outlineLevel="0" collapsed="false">
      <c r="A17" s="8" t="s">
        <v>223</v>
      </c>
      <c r="B17" s="32" t="n">
        <v>4</v>
      </c>
      <c r="C17" s="32" t="n">
        <v>4</v>
      </c>
      <c r="D17" s="32" t="n">
        <v>4</v>
      </c>
      <c r="E17" s="32" t="n">
        <v>4</v>
      </c>
      <c r="F17" s="32" t="n">
        <v>4</v>
      </c>
      <c r="G17" s="32" t="n">
        <v>4</v>
      </c>
      <c r="H17" s="32" t="n">
        <v>5</v>
      </c>
      <c r="I17" s="32" t="n">
        <v>5</v>
      </c>
      <c r="J17" s="32" t="n">
        <v>5</v>
      </c>
      <c r="K17" s="32" t="n">
        <v>5</v>
      </c>
      <c r="L17" s="32" t="n">
        <v>4</v>
      </c>
      <c r="M17" s="32" t="n">
        <v>4</v>
      </c>
      <c r="N17" s="33" t="n">
        <f aca="false">SUM(B17:M17)</f>
        <v>52</v>
      </c>
    </row>
    <row r="18" customFormat="false" ht="54" hidden="false" customHeight="true" outlineLevel="0" collapsed="false">
      <c r="A18" s="8" t="s">
        <v>224</v>
      </c>
      <c r="B18" s="34" t="n">
        <v>3</v>
      </c>
      <c r="C18" s="34" t="n">
        <v>3</v>
      </c>
      <c r="D18" s="34" t="n">
        <v>3</v>
      </c>
      <c r="E18" s="34" t="n">
        <v>3</v>
      </c>
      <c r="F18" s="34" t="n">
        <v>3</v>
      </c>
      <c r="G18" s="34" t="n">
        <v>3</v>
      </c>
      <c r="H18" s="34"/>
      <c r="I18" s="34"/>
      <c r="J18" s="34"/>
      <c r="K18" s="34"/>
      <c r="L18" s="34"/>
      <c r="M18" s="34"/>
      <c r="N18" s="8" t="s">
        <v>225</v>
      </c>
    </row>
    <row r="19" customFormat="false" ht="24" hidden="false" customHeight="true" outlineLevel="0" collapsed="false">
      <c r="A19" s="11" t="s">
        <v>226</v>
      </c>
      <c r="B19" s="30"/>
      <c r="C19" s="30" t="s">
        <v>227</v>
      </c>
      <c r="D19" s="30"/>
      <c r="E19" s="30" t="s">
        <v>228</v>
      </c>
      <c r="F19" s="30"/>
      <c r="G19" s="30" t="s">
        <v>229</v>
      </c>
      <c r="H19" s="30"/>
      <c r="I19" s="30" t="s">
        <v>230</v>
      </c>
      <c r="J19" s="30"/>
      <c r="K19" s="30" t="s">
        <v>231</v>
      </c>
      <c r="L19" s="30"/>
      <c r="M19" s="30" t="s">
        <v>232</v>
      </c>
      <c r="N19" s="11" t="s">
        <v>233</v>
      </c>
    </row>
  </sheetData>
  <mergeCells count="4">
    <mergeCell ref="A1:N1"/>
    <mergeCell ref="A2:N2"/>
    <mergeCell ref="A3:N3"/>
    <mergeCell ref="A15:N1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72"/>
    <col collapsed="false" customWidth="true" hidden="false" outlineLevel="0" max="6" min="6" style="0" width="17"/>
  </cols>
  <sheetData>
    <row r="1" customFormat="false" ht="30" hidden="false" customHeight="true" outlineLevel="0" collapsed="false">
      <c r="A1" s="1" t="s">
        <v>51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2" t="s">
        <v>234</v>
      </c>
      <c r="B2" s="2"/>
      <c r="C2" s="2"/>
      <c r="D2" s="2"/>
      <c r="E2" s="2"/>
      <c r="F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</row>
    <row r="5" customFormat="false" ht="24" hidden="false" customHeight="true" outlineLevel="0" collapsed="false">
      <c r="A5" s="6" t="s">
        <v>74</v>
      </c>
      <c r="B5" s="6" t="s">
        <v>75</v>
      </c>
      <c r="C5" s="6" t="s">
        <v>76</v>
      </c>
      <c r="D5" s="6" t="s">
        <v>235</v>
      </c>
      <c r="E5" s="6" t="s">
        <v>236</v>
      </c>
      <c r="F5" s="6" t="s">
        <v>237</v>
      </c>
    </row>
    <row r="6" customFormat="false" ht="129" hidden="false" customHeight="true" outlineLevel="0" collapsed="false">
      <c r="A6" s="8" t="s">
        <v>80</v>
      </c>
      <c r="B6" s="8" t="s">
        <v>81</v>
      </c>
      <c r="C6" s="26" t="n">
        <v>6000</v>
      </c>
      <c r="D6" s="19" t="n">
        <f aca="false">C6/Assumptions!$C$6</f>
        <v>0.12</v>
      </c>
      <c r="E6" s="8" t="s">
        <v>238</v>
      </c>
      <c r="F6" s="8" t="s">
        <v>227</v>
      </c>
    </row>
    <row r="7" customFormat="false" ht="140.25" hidden="false" customHeight="true" outlineLevel="0" collapsed="false">
      <c r="A7" s="10" t="s">
        <v>85</v>
      </c>
      <c r="B7" s="10" t="s">
        <v>86</v>
      </c>
      <c r="C7" s="26" t="n">
        <v>9000</v>
      </c>
      <c r="D7" s="21" t="n">
        <f aca="false">C7/Assumptions!$C$6</f>
        <v>0.18</v>
      </c>
      <c r="E7" s="10" t="s">
        <v>239</v>
      </c>
      <c r="F7" s="10" t="s">
        <v>228</v>
      </c>
    </row>
    <row r="8" customFormat="false" ht="108" hidden="false" customHeight="true" outlineLevel="0" collapsed="false">
      <c r="A8" s="8" t="s">
        <v>90</v>
      </c>
      <c r="B8" s="8" t="s">
        <v>91</v>
      </c>
      <c r="C8" s="26" t="n">
        <v>8000</v>
      </c>
      <c r="D8" s="19" t="n">
        <f aca="false">C8/Assumptions!$C$6</f>
        <v>0.16</v>
      </c>
      <c r="E8" s="8" t="s">
        <v>240</v>
      </c>
      <c r="F8" s="8" t="s">
        <v>229</v>
      </c>
    </row>
    <row r="9" customFormat="false" ht="140.25" hidden="false" customHeight="true" outlineLevel="0" collapsed="false">
      <c r="A9" s="10" t="s">
        <v>95</v>
      </c>
      <c r="B9" s="10" t="s">
        <v>96</v>
      </c>
      <c r="C9" s="26" t="n">
        <v>11000</v>
      </c>
      <c r="D9" s="21" t="n">
        <f aca="false">C9/Assumptions!$C$6</f>
        <v>0.22</v>
      </c>
      <c r="E9" s="10" t="s">
        <v>241</v>
      </c>
      <c r="F9" s="10" t="s">
        <v>230</v>
      </c>
    </row>
    <row r="10" customFormat="false" ht="108" hidden="false" customHeight="true" outlineLevel="0" collapsed="false">
      <c r="A10" s="8" t="s">
        <v>100</v>
      </c>
      <c r="B10" s="8" t="s">
        <v>101</v>
      </c>
      <c r="C10" s="26" t="n">
        <v>7000</v>
      </c>
      <c r="D10" s="19" t="n">
        <f aca="false">C10/Assumptions!$C$6</f>
        <v>0.14</v>
      </c>
      <c r="E10" s="8" t="s">
        <v>242</v>
      </c>
      <c r="F10" s="8" t="s">
        <v>231</v>
      </c>
    </row>
    <row r="11" customFormat="false" ht="96.75" hidden="false" customHeight="true" outlineLevel="0" collapsed="false">
      <c r="A11" s="10" t="s">
        <v>104</v>
      </c>
      <c r="B11" s="10" t="s">
        <v>105</v>
      </c>
      <c r="C11" s="26" t="n">
        <v>6000</v>
      </c>
      <c r="D11" s="21" t="n">
        <f aca="false">C11/Assumptions!$C$6</f>
        <v>0.12</v>
      </c>
      <c r="E11" s="10" t="s">
        <v>243</v>
      </c>
      <c r="F11" s="10" t="s">
        <v>232</v>
      </c>
    </row>
    <row r="12" customFormat="false" ht="108" hidden="false" customHeight="true" outlineLevel="0" collapsed="false">
      <c r="A12" s="8" t="s">
        <v>109</v>
      </c>
      <c r="B12" s="8" t="s">
        <v>110</v>
      </c>
      <c r="C12" s="26" t="n">
        <v>3000</v>
      </c>
      <c r="D12" s="19" t="n">
        <f aca="false">C12/Assumptions!$C$6</f>
        <v>0.06</v>
      </c>
      <c r="E12" s="8" t="s">
        <v>244</v>
      </c>
      <c r="F12" s="8" t="s">
        <v>196</v>
      </c>
    </row>
    <row r="13" customFormat="false" ht="32.25" hidden="false" customHeight="true" outlineLevel="0" collapsed="false">
      <c r="A13" s="22" t="s">
        <v>111</v>
      </c>
      <c r="B13" s="22" t="s">
        <v>112</v>
      </c>
      <c r="C13" s="23" t="n">
        <f aca="false">SUM(C6:C12)</f>
        <v>50000</v>
      </c>
      <c r="D13" s="24" t="n">
        <f aca="false">C13/Assumptions!$C$6</f>
        <v>1</v>
      </c>
      <c r="E13" s="22" t="s">
        <v>245</v>
      </c>
      <c r="F13" s="22" t="s">
        <v>4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7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25"/>
    <col collapsed="false" customWidth="true" hidden="false" outlineLevel="0" max="5" min="5" style="0" width="36"/>
    <col collapsed="false" customWidth="true" hidden="false" outlineLevel="0" max="6" min="6" style="0" width="58"/>
  </cols>
  <sheetData>
    <row r="1" customFormat="false" ht="30" hidden="false" customHeight="true" outlineLevel="0" collapsed="false">
      <c r="A1" s="1" t="s">
        <v>246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2" t="s">
        <v>247</v>
      </c>
      <c r="B2" s="2"/>
      <c r="C2" s="2"/>
      <c r="D2" s="2"/>
      <c r="E2" s="2"/>
      <c r="F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</row>
    <row r="5" customFormat="false" ht="24" hidden="false" customHeight="true" outlineLevel="0" collapsed="false">
      <c r="A5" s="5" t="s">
        <v>248</v>
      </c>
      <c r="B5" s="5"/>
      <c r="C5" s="5"/>
      <c r="D5" s="5"/>
      <c r="E5" s="5"/>
      <c r="F5" s="5"/>
    </row>
    <row r="6" customFormat="false" ht="9" hidden="false" customHeight="true" outlineLevel="0" collapsed="false">
      <c r="A6" s="4"/>
      <c r="B6" s="4"/>
      <c r="C6" s="4"/>
      <c r="D6" s="4"/>
      <c r="E6" s="4"/>
      <c r="F6" s="4"/>
    </row>
    <row r="7" customFormat="false" ht="24" hidden="false" customHeight="true" outlineLevel="0" collapsed="false">
      <c r="A7" s="6" t="s">
        <v>249</v>
      </c>
      <c r="B7" s="6" t="s">
        <v>250</v>
      </c>
      <c r="C7" s="6" t="s">
        <v>251</v>
      </c>
      <c r="D7" s="6" t="s">
        <v>252</v>
      </c>
      <c r="E7" s="6" t="s">
        <v>253</v>
      </c>
      <c r="F7" s="6" t="s">
        <v>79</v>
      </c>
    </row>
    <row r="8" customFormat="false" ht="42.75" hidden="false" customHeight="true" outlineLevel="0" collapsed="false">
      <c r="A8" s="8" t="s">
        <v>254</v>
      </c>
      <c r="B8" s="35" t="n">
        <v>500</v>
      </c>
      <c r="C8" s="36" t="n">
        <f aca="false">Assumptions!$C$8</f>
        <v>52</v>
      </c>
      <c r="D8" s="35" t="n">
        <f aca="false">B8*C8</f>
        <v>26000</v>
      </c>
      <c r="E8" s="35" t="n">
        <f aca="false">Assumptions!$C$6-D8</f>
        <v>24000</v>
      </c>
      <c r="F8" s="8" t="s">
        <v>255</v>
      </c>
    </row>
    <row r="9" customFormat="false" ht="32.25" hidden="false" customHeight="true" outlineLevel="0" collapsed="false">
      <c r="A9" s="10" t="s">
        <v>256</v>
      </c>
      <c r="B9" s="20" t="n">
        <v>575</v>
      </c>
      <c r="C9" s="10" t="n">
        <f aca="false">Assumptions!$C$8</f>
        <v>52</v>
      </c>
      <c r="D9" s="20" t="n">
        <f aca="false">B9*C9</f>
        <v>29900</v>
      </c>
      <c r="E9" s="20" t="n">
        <f aca="false">Assumptions!$C$6-D9</f>
        <v>20100</v>
      </c>
      <c r="F9" s="10" t="s">
        <v>257</v>
      </c>
    </row>
    <row r="10" customFormat="false" ht="32.25" hidden="false" customHeight="true" outlineLevel="0" collapsed="false">
      <c r="A10" s="8" t="s">
        <v>256</v>
      </c>
      <c r="B10" s="18" t="n">
        <v>650</v>
      </c>
      <c r="C10" s="8" t="n">
        <f aca="false">Assumptions!$C$8</f>
        <v>52</v>
      </c>
      <c r="D10" s="18" t="n">
        <f aca="false">B10*C10</f>
        <v>33800</v>
      </c>
      <c r="E10" s="18" t="n">
        <f aca="false">Assumptions!$C$6-D10</f>
        <v>16200</v>
      </c>
      <c r="F10" s="8" t="s">
        <v>257</v>
      </c>
    </row>
    <row r="11" customFormat="false" ht="75" hidden="false" customHeight="true" outlineLevel="0" collapsed="false">
      <c r="A11" s="10" t="s">
        <v>4</v>
      </c>
      <c r="B11" s="20" t="n">
        <f aca="false">Assumptions!C7</f>
        <v>500</v>
      </c>
      <c r="C11" s="10" t="n">
        <f aca="false">Assumptions!C8</f>
        <v>52</v>
      </c>
      <c r="D11" s="20" t="n">
        <f aca="false">B11*C11</f>
        <v>26000</v>
      </c>
      <c r="E11" s="20" t="n">
        <f aca="false">Assumptions!C6-D11</f>
        <v>24000</v>
      </c>
      <c r="F11" s="10" t="s">
        <v>258</v>
      </c>
    </row>
    <row r="12" customFormat="false" ht="9" hidden="false" customHeight="true" outlineLevel="0" collapsed="false">
      <c r="A12" s="4"/>
      <c r="B12" s="4"/>
      <c r="C12" s="4"/>
      <c r="D12" s="4"/>
      <c r="E12" s="4"/>
      <c r="F12" s="4"/>
    </row>
    <row r="13" customFormat="false" ht="9" hidden="false" customHeight="true" outlineLevel="0" collapsed="false">
      <c r="A13" s="4"/>
      <c r="B13" s="4"/>
      <c r="C13" s="4"/>
      <c r="D13" s="4"/>
      <c r="E13" s="4"/>
      <c r="F13" s="4"/>
    </row>
    <row r="14" customFormat="false" ht="24" hidden="false" customHeight="true" outlineLevel="0" collapsed="false">
      <c r="A14" s="5" t="s">
        <v>259</v>
      </c>
      <c r="B14" s="5"/>
      <c r="C14" s="5"/>
      <c r="D14" s="5"/>
      <c r="E14" s="5"/>
      <c r="F14" s="5"/>
    </row>
    <row r="15" customFormat="false" ht="9" hidden="false" customHeight="true" outlineLevel="0" collapsed="false">
      <c r="A15" s="4"/>
      <c r="B15" s="4"/>
      <c r="C15" s="4"/>
      <c r="D15" s="4"/>
      <c r="E15" s="4"/>
      <c r="F15" s="4"/>
    </row>
    <row r="16" customFormat="false" ht="24" hidden="false" customHeight="true" outlineLevel="0" collapsed="false">
      <c r="A16" s="6" t="s">
        <v>74</v>
      </c>
      <c r="B16" s="6" t="s">
        <v>251</v>
      </c>
      <c r="C16" s="6" t="s">
        <v>260</v>
      </c>
      <c r="D16" s="7"/>
      <c r="E16" s="6" t="s">
        <v>4</v>
      </c>
      <c r="F16" s="6" t="s">
        <v>261</v>
      </c>
    </row>
    <row r="17" customFormat="false" ht="118.5" hidden="false" customHeight="true" outlineLevel="0" collapsed="false">
      <c r="A17" s="8" t="s">
        <v>80</v>
      </c>
      <c r="B17" s="8" t="n">
        <v>6</v>
      </c>
      <c r="C17" s="8" t="s">
        <v>262</v>
      </c>
      <c r="D17" s="4"/>
      <c r="E17" s="8" t="s">
        <v>263</v>
      </c>
      <c r="F17" s="8" t="s">
        <v>264</v>
      </c>
    </row>
    <row r="18" customFormat="false" ht="86.25" hidden="false" customHeight="true" outlineLevel="0" collapsed="false">
      <c r="A18" s="10" t="s">
        <v>85</v>
      </c>
      <c r="B18" s="10" t="n">
        <v>9</v>
      </c>
      <c r="C18" s="10" t="s">
        <v>265</v>
      </c>
      <c r="D18" s="4"/>
      <c r="E18" s="10" t="s">
        <v>266</v>
      </c>
      <c r="F18" s="10" t="s">
        <v>267</v>
      </c>
    </row>
    <row r="19" customFormat="false" ht="96.75" hidden="false" customHeight="true" outlineLevel="0" collapsed="false">
      <c r="A19" s="8" t="s">
        <v>90</v>
      </c>
      <c r="B19" s="8" t="n">
        <v>8</v>
      </c>
      <c r="C19" s="8" t="s">
        <v>268</v>
      </c>
      <c r="D19" s="4"/>
      <c r="E19" s="8" t="s">
        <v>269</v>
      </c>
      <c r="F19" s="8" t="s">
        <v>270</v>
      </c>
    </row>
    <row r="20" customFormat="false" ht="86.25" hidden="false" customHeight="true" outlineLevel="0" collapsed="false">
      <c r="A20" s="10" t="s">
        <v>95</v>
      </c>
      <c r="B20" s="10" t="n">
        <v>10</v>
      </c>
      <c r="C20" s="10" t="s">
        <v>271</v>
      </c>
      <c r="D20" s="4"/>
      <c r="E20" s="10" t="s">
        <v>272</v>
      </c>
      <c r="F20" s="10" t="s">
        <v>273</v>
      </c>
    </row>
    <row r="21" customFormat="false" ht="108" hidden="false" customHeight="true" outlineLevel="0" collapsed="false">
      <c r="A21" s="8" t="s">
        <v>100</v>
      </c>
      <c r="B21" s="8" t="n">
        <v>8</v>
      </c>
      <c r="C21" s="8" t="s">
        <v>274</v>
      </c>
      <c r="D21" s="4"/>
      <c r="E21" s="8" t="s">
        <v>275</v>
      </c>
      <c r="F21" s="8" t="s">
        <v>276</v>
      </c>
    </row>
    <row r="22" customFormat="false" ht="42.75" hidden="false" customHeight="true" outlineLevel="0" collapsed="false">
      <c r="A22" s="10" t="s">
        <v>104</v>
      </c>
      <c r="B22" s="10" t="n">
        <v>7</v>
      </c>
      <c r="C22" s="10" t="s">
        <v>277</v>
      </c>
      <c r="D22" s="4"/>
      <c r="E22" s="4"/>
      <c r="F22" s="4"/>
    </row>
    <row r="23" customFormat="false" ht="32.25" hidden="false" customHeight="true" outlineLevel="0" collapsed="false">
      <c r="A23" s="8" t="s">
        <v>109</v>
      </c>
      <c r="B23" s="8" t="n">
        <v>4</v>
      </c>
      <c r="C23" s="8" t="s">
        <v>278</v>
      </c>
      <c r="D23" s="4"/>
      <c r="E23" s="4"/>
      <c r="F23" s="4"/>
    </row>
    <row r="24" customFormat="false" ht="32.25" hidden="false" customHeight="true" outlineLevel="0" collapsed="false">
      <c r="A24" s="22" t="s">
        <v>111</v>
      </c>
      <c r="B24" s="22" t="n">
        <f aca="false">SUM(B17:B23)</f>
        <v>52</v>
      </c>
      <c r="C24" s="22" t="s">
        <v>279</v>
      </c>
      <c r="D24" s="25"/>
      <c r="E24" s="25"/>
      <c r="F24" s="25"/>
    </row>
  </sheetData>
  <mergeCells count="6">
    <mergeCell ref="A1:F1"/>
    <mergeCell ref="A2:F2"/>
    <mergeCell ref="A3:F3"/>
    <mergeCell ref="A5:F5"/>
    <mergeCell ref="A14:F14"/>
    <mergeCell ref="E14:F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  <col collapsed="false" customWidth="true" hidden="false" outlineLevel="0" max="3" min="3" style="0" width="17"/>
    <col collapsed="false" customWidth="true" hidden="false" outlineLevel="0" max="4" min="4" style="0" width="50"/>
    <col collapsed="false" customWidth="true" hidden="false" outlineLevel="0" max="5" min="5" style="0" width="45"/>
    <col collapsed="false" customWidth="true" hidden="false" outlineLevel="0" max="6" min="6" style="0" width="16"/>
    <col collapsed="false" customWidth="true" hidden="false" outlineLevel="0" max="7" min="7" style="0" width="44"/>
  </cols>
  <sheetData>
    <row r="1" customFormat="false" ht="30" hidden="false" customHeight="true" outlineLevel="0" collapsed="false">
      <c r="A1" s="1" t="s">
        <v>280</v>
      </c>
      <c r="B1" s="1"/>
      <c r="C1" s="1"/>
      <c r="D1" s="1"/>
      <c r="E1" s="1"/>
      <c r="F1" s="1"/>
      <c r="G1" s="1"/>
    </row>
    <row r="2" customFormat="false" ht="22.5" hidden="false" customHeight="true" outlineLevel="0" collapsed="false">
      <c r="A2" s="2" t="s">
        <v>281</v>
      </c>
      <c r="B2" s="2"/>
      <c r="C2" s="2"/>
      <c r="D2" s="2"/>
      <c r="E2" s="2"/>
      <c r="F2" s="2"/>
      <c r="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24" hidden="false" customHeight="true" outlineLevel="0" collapsed="false">
      <c r="A5" s="6" t="s">
        <v>282</v>
      </c>
      <c r="B5" s="6" t="s">
        <v>75</v>
      </c>
      <c r="C5" s="6" t="s">
        <v>283</v>
      </c>
      <c r="D5" s="6" t="s">
        <v>284</v>
      </c>
      <c r="E5" s="6" t="s">
        <v>285</v>
      </c>
      <c r="F5" s="6" t="s">
        <v>78</v>
      </c>
      <c r="G5" s="6" t="s">
        <v>286</v>
      </c>
    </row>
    <row r="6" customFormat="false" ht="24" hidden="false" customHeight="true" outlineLevel="0" collapsed="false">
      <c r="A6" s="11" t="s">
        <v>287</v>
      </c>
      <c r="B6" s="11" t="s">
        <v>80</v>
      </c>
      <c r="C6" s="11" t="s">
        <v>227</v>
      </c>
      <c r="D6" s="11" t="s">
        <v>288</v>
      </c>
      <c r="E6" s="11" t="s">
        <v>289</v>
      </c>
      <c r="F6" s="11" t="s">
        <v>290</v>
      </c>
      <c r="G6" s="11" t="s">
        <v>291</v>
      </c>
    </row>
    <row r="7" customFormat="false" ht="64.5" hidden="false" customHeight="true" outlineLevel="0" collapsed="false">
      <c r="A7" s="10" t="s">
        <v>292</v>
      </c>
      <c r="B7" s="10" t="s">
        <v>85</v>
      </c>
      <c r="C7" s="10" t="s">
        <v>293</v>
      </c>
      <c r="D7" s="10" t="s">
        <v>294</v>
      </c>
      <c r="E7" s="10" t="s">
        <v>295</v>
      </c>
      <c r="F7" s="27" t="s">
        <v>290</v>
      </c>
      <c r="G7" s="10" t="s">
        <v>296</v>
      </c>
    </row>
    <row r="8" customFormat="false" ht="24" hidden="false" customHeight="true" outlineLevel="0" collapsed="false">
      <c r="A8" s="11" t="s">
        <v>297</v>
      </c>
      <c r="B8" s="11" t="s">
        <v>90</v>
      </c>
      <c r="C8" s="11" t="s">
        <v>298</v>
      </c>
      <c r="D8" s="11" t="s">
        <v>299</v>
      </c>
      <c r="E8" s="11" t="s">
        <v>300</v>
      </c>
      <c r="F8" s="11" t="s">
        <v>290</v>
      </c>
      <c r="G8" s="11" t="s">
        <v>301</v>
      </c>
    </row>
    <row r="9" customFormat="false" ht="24" hidden="false" customHeight="true" outlineLevel="0" collapsed="false">
      <c r="A9" s="11" t="s">
        <v>302</v>
      </c>
      <c r="B9" s="11" t="s">
        <v>95</v>
      </c>
      <c r="C9" s="11" t="s">
        <v>303</v>
      </c>
      <c r="D9" s="11" t="s">
        <v>304</v>
      </c>
      <c r="E9" s="11" t="s">
        <v>305</v>
      </c>
      <c r="F9" s="11" t="s">
        <v>290</v>
      </c>
      <c r="G9" s="11" t="s">
        <v>306</v>
      </c>
    </row>
    <row r="10" customFormat="false" ht="24" hidden="false" customHeight="true" outlineLevel="0" collapsed="false">
      <c r="A10" s="11" t="s">
        <v>307</v>
      </c>
      <c r="B10" s="11" t="s">
        <v>95</v>
      </c>
      <c r="C10" s="11" t="s">
        <v>230</v>
      </c>
      <c r="D10" s="11" t="s">
        <v>308</v>
      </c>
      <c r="E10" s="11" t="s">
        <v>309</v>
      </c>
      <c r="F10" s="11" t="s">
        <v>290</v>
      </c>
      <c r="G10" s="11" t="s">
        <v>310</v>
      </c>
    </row>
    <row r="11" customFormat="false" ht="24" hidden="false" customHeight="true" outlineLevel="0" collapsed="false">
      <c r="A11" s="11" t="s">
        <v>311</v>
      </c>
      <c r="B11" s="11" t="s">
        <v>312</v>
      </c>
      <c r="C11" s="11" t="s">
        <v>313</v>
      </c>
      <c r="D11" s="11" t="s">
        <v>314</v>
      </c>
      <c r="E11" s="11" t="s">
        <v>315</v>
      </c>
      <c r="F11" s="11" t="s">
        <v>290</v>
      </c>
      <c r="G11" s="11" t="s">
        <v>316</v>
      </c>
    </row>
    <row r="12" customFormat="false" ht="24" hidden="false" customHeight="true" outlineLevel="0" collapsed="false">
      <c r="A12" s="11" t="s">
        <v>317</v>
      </c>
      <c r="B12" s="11" t="s">
        <v>100</v>
      </c>
      <c r="C12" s="11" t="s">
        <v>231</v>
      </c>
      <c r="D12" s="11" t="s">
        <v>318</v>
      </c>
      <c r="E12" s="11" t="s">
        <v>319</v>
      </c>
      <c r="F12" s="11" t="s">
        <v>290</v>
      </c>
      <c r="G12" s="11" t="s">
        <v>320</v>
      </c>
    </row>
    <row r="13" customFormat="false" ht="64.5" hidden="false" customHeight="true" outlineLevel="0" collapsed="false">
      <c r="A13" s="10" t="s">
        <v>321</v>
      </c>
      <c r="B13" s="10" t="s">
        <v>104</v>
      </c>
      <c r="C13" s="10" t="s">
        <v>232</v>
      </c>
      <c r="D13" s="10" t="s">
        <v>322</v>
      </c>
      <c r="E13" s="10" t="s">
        <v>323</v>
      </c>
      <c r="F13" s="27" t="s">
        <v>290</v>
      </c>
      <c r="G13" s="10" t="s">
        <v>324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9"/>
    <col collapsed="false" customWidth="true" hidden="false" outlineLevel="0" max="2" min="2" style="0" width="18"/>
    <col collapsed="false" customWidth="true" hidden="false" outlineLevel="0" max="3" min="3" style="0" width="53"/>
    <col collapsed="false" customWidth="true" hidden="false" outlineLevel="0" max="4" min="4" style="0" width="50"/>
    <col collapsed="false" customWidth="true" hidden="false" outlineLevel="0" max="5" min="5" style="0" width="47"/>
    <col collapsed="false" customWidth="true" hidden="false" outlineLevel="0" max="6" min="6" style="0" width="18"/>
    <col collapsed="false" customWidth="true" hidden="false" outlineLevel="0" max="7" min="7" style="0" width="40"/>
  </cols>
  <sheetData>
    <row r="1" customFormat="false" ht="30" hidden="false" customHeight="true" outlineLevel="0" collapsed="false">
      <c r="A1" s="1" t="s">
        <v>325</v>
      </c>
      <c r="B1" s="1"/>
      <c r="C1" s="1"/>
      <c r="D1" s="1"/>
      <c r="E1" s="1"/>
      <c r="F1" s="1"/>
      <c r="G1" s="1"/>
    </row>
    <row r="2" customFormat="false" ht="22.5" hidden="false" customHeight="true" outlineLevel="0" collapsed="false">
      <c r="A2" s="2" t="s">
        <v>326</v>
      </c>
      <c r="B2" s="2"/>
      <c r="C2" s="2"/>
      <c r="D2" s="2"/>
      <c r="E2" s="2"/>
      <c r="F2" s="2"/>
      <c r="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24" hidden="false" customHeight="true" outlineLevel="0" collapsed="false">
      <c r="A5" s="6" t="s">
        <v>327</v>
      </c>
      <c r="B5" s="6" t="s">
        <v>328</v>
      </c>
      <c r="C5" s="6" t="s">
        <v>284</v>
      </c>
      <c r="D5" s="6" t="s">
        <v>329</v>
      </c>
      <c r="E5" s="6" t="s">
        <v>330</v>
      </c>
      <c r="F5" s="6" t="s">
        <v>78</v>
      </c>
      <c r="G5" s="6" t="s">
        <v>331</v>
      </c>
    </row>
    <row r="6" customFormat="false" ht="64.5" hidden="false" customHeight="true" outlineLevel="0" collapsed="false">
      <c r="A6" s="8" t="s">
        <v>332</v>
      </c>
      <c r="B6" s="8" t="n">
        <f aca="false">Assumptions!C12</f>
        <v>2</v>
      </c>
      <c r="C6" s="8" t="s">
        <v>333</v>
      </c>
      <c r="D6" s="8" t="s">
        <v>334</v>
      </c>
      <c r="E6" s="8" t="s">
        <v>335</v>
      </c>
      <c r="F6" s="27" t="s">
        <v>336</v>
      </c>
      <c r="G6" s="8" t="s">
        <v>337</v>
      </c>
    </row>
    <row r="7" customFormat="false" ht="75" hidden="false" customHeight="true" outlineLevel="0" collapsed="false">
      <c r="A7" s="10" t="s">
        <v>57</v>
      </c>
      <c r="B7" s="10" t="s">
        <v>58</v>
      </c>
      <c r="C7" s="10" t="s">
        <v>338</v>
      </c>
      <c r="D7" s="10" t="s">
        <v>339</v>
      </c>
      <c r="E7" s="10" t="s">
        <v>340</v>
      </c>
      <c r="F7" s="27" t="s">
        <v>341</v>
      </c>
      <c r="G7" s="10" t="s">
        <v>342</v>
      </c>
    </row>
    <row r="8" customFormat="false" ht="24" hidden="false" customHeight="true" outlineLevel="0" collapsed="false">
      <c r="A8" s="11" t="s">
        <v>59</v>
      </c>
      <c r="B8" s="11" t="s">
        <v>60</v>
      </c>
      <c r="C8" s="11" t="s">
        <v>343</v>
      </c>
      <c r="D8" s="11" t="s">
        <v>344</v>
      </c>
      <c r="E8" s="11" t="s">
        <v>345</v>
      </c>
      <c r="F8" s="11" t="s">
        <v>341</v>
      </c>
      <c r="G8" s="11" t="s">
        <v>346</v>
      </c>
    </row>
    <row r="9" customFormat="false" ht="24" hidden="false" customHeight="true" outlineLevel="0" collapsed="false">
      <c r="A9" s="11" t="s">
        <v>347</v>
      </c>
      <c r="B9" s="11" t="s">
        <v>62</v>
      </c>
      <c r="C9" s="11" t="s">
        <v>348</v>
      </c>
      <c r="D9" s="11" t="s">
        <v>349</v>
      </c>
      <c r="E9" s="11" t="s">
        <v>350</v>
      </c>
      <c r="F9" s="11" t="s">
        <v>341</v>
      </c>
      <c r="G9" s="11" t="s">
        <v>351</v>
      </c>
    </row>
    <row r="10" customFormat="false" ht="24" hidden="false" customHeight="true" outlineLevel="0" collapsed="false">
      <c r="A10" s="11" t="s">
        <v>352</v>
      </c>
      <c r="B10" s="11" t="s">
        <v>353</v>
      </c>
      <c r="C10" s="11" t="s">
        <v>354</v>
      </c>
      <c r="D10" s="11" t="s">
        <v>355</v>
      </c>
      <c r="E10" s="11" t="s">
        <v>356</v>
      </c>
      <c r="F10" s="11" t="s">
        <v>341</v>
      </c>
      <c r="G10" s="11" t="s">
        <v>357</v>
      </c>
    </row>
    <row r="11" customFormat="false" ht="24" hidden="false" customHeight="true" outlineLevel="0" collapsed="false">
      <c r="A11" s="11" t="s">
        <v>358</v>
      </c>
      <c r="B11" s="11" t="s">
        <v>359</v>
      </c>
      <c r="C11" s="11" t="s">
        <v>360</v>
      </c>
      <c r="D11" s="11" t="s">
        <v>361</v>
      </c>
      <c r="E11" s="11" t="s">
        <v>362</v>
      </c>
      <c r="F11" s="11" t="s">
        <v>290</v>
      </c>
      <c r="G11" s="11" t="s">
        <v>363</v>
      </c>
    </row>
    <row r="12" customFormat="false" ht="54" hidden="false" customHeight="true" outlineLevel="0" collapsed="false">
      <c r="A12" s="8" t="s">
        <v>364</v>
      </c>
      <c r="B12" s="8" t="s">
        <v>365</v>
      </c>
      <c r="C12" s="8" t="s">
        <v>366</v>
      </c>
      <c r="D12" s="8" t="s">
        <v>367</v>
      </c>
      <c r="E12" s="8" t="s">
        <v>368</v>
      </c>
      <c r="F12" s="27" t="s">
        <v>290</v>
      </c>
      <c r="G12" s="8" t="s">
        <v>369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9"/>
    <col collapsed="false" customWidth="true" hidden="false" outlineLevel="0" max="2" min="2" style="0" width="66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61"/>
    <col collapsed="false" customWidth="true" hidden="false" outlineLevel="0" max="6" min="6" style="0" width="47"/>
  </cols>
  <sheetData>
    <row r="1" customFormat="false" ht="30" hidden="false" customHeight="true" outlineLevel="0" collapsed="false">
      <c r="A1" s="1" t="s">
        <v>370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2" t="s">
        <v>371</v>
      </c>
      <c r="B2" s="2"/>
      <c r="C2" s="2"/>
      <c r="D2" s="2"/>
      <c r="E2" s="2"/>
      <c r="F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</row>
    <row r="5" customFormat="false" ht="24" hidden="false" customHeight="true" outlineLevel="0" collapsed="false">
      <c r="A5" s="6" t="s">
        <v>372</v>
      </c>
      <c r="B5" s="6" t="s">
        <v>373</v>
      </c>
      <c r="C5" s="6" t="s">
        <v>374</v>
      </c>
      <c r="D5" s="6" t="s">
        <v>375</v>
      </c>
      <c r="E5" s="6" t="s">
        <v>331</v>
      </c>
      <c r="F5" s="6" t="s">
        <v>376</v>
      </c>
    </row>
    <row r="6" customFormat="false" ht="118.5" hidden="false" customHeight="true" outlineLevel="0" collapsed="false">
      <c r="A6" s="8" t="s">
        <v>377</v>
      </c>
      <c r="B6" s="8" t="s">
        <v>378</v>
      </c>
      <c r="C6" s="18" t="n">
        <f aca="false">Assumptions!C6</f>
        <v>50000</v>
      </c>
      <c r="D6" s="27" t="s">
        <v>379</v>
      </c>
      <c r="E6" s="8" t="s">
        <v>380</v>
      </c>
      <c r="F6" s="8" t="s">
        <v>381</v>
      </c>
    </row>
    <row r="7" customFormat="false" ht="108" hidden="false" customHeight="true" outlineLevel="0" collapsed="false">
      <c r="A7" s="10" t="s">
        <v>382</v>
      </c>
      <c r="B7" s="10" t="s">
        <v>383</v>
      </c>
      <c r="C7" s="20" t="s">
        <v>137</v>
      </c>
      <c r="D7" s="27" t="s">
        <v>384</v>
      </c>
      <c r="E7" s="10" t="s">
        <v>385</v>
      </c>
      <c r="F7" s="10" t="s">
        <v>386</v>
      </c>
    </row>
    <row r="8" customFormat="false" ht="118.5" hidden="false" customHeight="true" outlineLevel="0" collapsed="false">
      <c r="A8" s="8" t="s">
        <v>387</v>
      </c>
      <c r="B8" s="8" t="s">
        <v>388</v>
      </c>
      <c r="C8" s="18" t="n">
        <f aca="false">Assumptions!C18</f>
        <v>0</v>
      </c>
      <c r="D8" s="27" t="s">
        <v>98</v>
      </c>
      <c r="E8" s="8" t="s">
        <v>389</v>
      </c>
      <c r="F8" s="8" t="s">
        <v>390</v>
      </c>
    </row>
    <row r="9" customFormat="false" ht="96.75" hidden="false" customHeight="true" outlineLevel="0" collapsed="false">
      <c r="A9" s="10" t="s">
        <v>391</v>
      </c>
      <c r="B9" s="10" t="s">
        <v>392</v>
      </c>
      <c r="C9" s="20" t="n">
        <f aca="false">SUM(Assumptions!C19:C20)</f>
        <v>0</v>
      </c>
      <c r="D9" s="27" t="s">
        <v>98</v>
      </c>
      <c r="E9" s="10" t="s">
        <v>393</v>
      </c>
      <c r="F9" s="10" t="s">
        <v>394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50"/>
    <col collapsed="false" customWidth="true" hidden="false" outlineLevel="0" max="3" min="3" style="0" width="19"/>
    <col collapsed="false" customWidth="true" hidden="false" outlineLevel="0" max="4" min="4" style="0" width="24"/>
    <col collapsed="false" customWidth="true" hidden="false" outlineLevel="0" max="5" min="5" style="0" width="29"/>
    <col collapsed="false" customWidth="true" hidden="false" outlineLevel="0" max="6" min="6" style="0" width="39"/>
    <col collapsed="false" customWidth="true" hidden="false" outlineLevel="0" max="7" min="7" style="0" width="16"/>
    <col collapsed="false" customWidth="true" hidden="false" outlineLevel="0" max="8" min="8" style="0" width="18"/>
  </cols>
  <sheetData>
    <row r="1" customFormat="false" ht="30" hidden="false" customHeight="true" outlineLevel="0" collapsed="false">
      <c r="A1" s="1" t="s">
        <v>395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2" t="s">
        <v>396</v>
      </c>
      <c r="B2" s="2"/>
      <c r="C2" s="2"/>
      <c r="D2" s="2"/>
      <c r="E2" s="2"/>
      <c r="F2" s="2"/>
      <c r="G2" s="2"/>
      <c r="H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24" hidden="false" customHeight="true" outlineLevel="0" collapsed="false">
      <c r="A5" s="6" t="s">
        <v>397</v>
      </c>
      <c r="B5" s="6" t="s">
        <v>398</v>
      </c>
      <c r="C5" s="6" t="s">
        <v>399</v>
      </c>
      <c r="D5" s="6" t="s">
        <v>400</v>
      </c>
      <c r="E5" s="6" t="s">
        <v>401</v>
      </c>
      <c r="F5" s="6" t="s">
        <v>402</v>
      </c>
      <c r="G5" s="6" t="s">
        <v>403</v>
      </c>
      <c r="H5" s="6" t="s">
        <v>78</v>
      </c>
    </row>
    <row r="6" customFormat="false" ht="75" hidden="false" customHeight="true" outlineLevel="0" collapsed="false">
      <c r="A6" s="8" t="s">
        <v>404</v>
      </c>
      <c r="B6" s="8" t="s">
        <v>405</v>
      </c>
      <c r="C6" s="18" t="n">
        <v>0</v>
      </c>
      <c r="D6" s="18" t="n">
        <v>0</v>
      </c>
      <c r="E6" s="8" t="s">
        <v>406</v>
      </c>
      <c r="F6" s="8" t="s">
        <v>407</v>
      </c>
      <c r="G6" s="8" t="s">
        <v>408</v>
      </c>
      <c r="H6" s="27" t="s">
        <v>409</v>
      </c>
    </row>
    <row r="7" customFormat="false" ht="54" hidden="false" customHeight="true" outlineLevel="0" collapsed="false">
      <c r="A7" s="10" t="s">
        <v>410</v>
      </c>
      <c r="B7" s="10" t="s">
        <v>411</v>
      </c>
      <c r="C7" s="20" t="n">
        <v>0</v>
      </c>
      <c r="D7" s="20" t="n">
        <v>0</v>
      </c>
      <c r="E7" s="10" t="s">
        <v>406</v>
      </c>
      <c r="F7" s="10" t="s">
        <v>412</v>
      </c>
      <c r="G7" s="10" t="s">
        <v>408</v>
      </c>
      <c r="H7" s="27" t="s">
        <v>409</v>
      </c>
    </row>
    <row r="8" customFormat="false" ht="54" hidden="false" customHeight="true" outlineLevel="0" collapsed="false">
      <c r="A8" s="8" t="s">
        <v>413</v>
      </c>
      <c r="B8" s="8" t="s">
        <v>411</v>
      </c>
      <c r="C8" s="18" t="n">
        <v>0</v>
      </c>
      <c r="D8" s="18" t="n">
        <v>0</v>
      </c>
      <c r="E8" s="8" t="s">
        <v>406</v>
      </c>
      <c r="F8" s="8" t="s">
        <v>412</v>
      </c>
      <c r="G8" s="8" t="s">
        <v>408</v>
      </c>
      <c r="H8" s="27" t="s">
        <v>409</v>
      </c>
    </row>
    <row r="9" customFormat="false" ht="64.5" hidden="false" customHeight="true" outlineLevel="0" collapsed="false">
      <c r="A9" s="10" t="s">
        <v>414</v>
      </c>
      <c r="B9" s="10" t="s">
        <v>415</v>
      </c>
      <c r="C9" s="20" t="n">
        <v>0</v>
      </c>
      <c r="D9" s="20" t="n">
        <v>0</v>
      </c>
      <c r="E9" s="10" t="s">
        <v>406</v>
      </c>
      <c r="F9" s="10" t="s">
        <v>416</v>
      </c>
      <c r="G9" s="10" t="s">
        <v>408</v>
      </c>
      <c r="H9" s="27" t="s">
        <v>409</v>
      </c>
    </row>
    <row r="10" customFormat="false" ht="64.5" hidden="false" customHeight="true" outlineLevel="0" collapsed="false">
      <c r="A10" s="8" t="s">
        <v>417</v>
      </c>
      <c r="B10" s="8" t="s">
        <v>418</v>
      </c>
      <c r="C10" s="18" t="n">
        <v>0</v>
      </c>
      <c r="D10" s="18" t="n">
        <v>0</v>
      </c>
      <c r="E10" s="8" t="s">
        <v>406</v>
      </c>
      <c r="F10" s="8" t="s">
        <v>416</v>
      </c>
      <c r="G10" s="8" t="s">
        <v>408</v>
      </c>
      <c r="H10" s="27" t="s">
        <v>409</v>
      </c>
    </row>
    <row r="11" customFormat="false" ht="42.75" hidden="false" customHeight="true" outlineLevel="0" collapsed="false">
      <c r="A11" s="10" t="s">
        <v>419</v>
      </c>
      <c r="B11" s="10" t="s">
        <v>420</v>
      </c>
      <c r="C11" s="20" t="n">
        <v>0</v>
      </c>
      <c r="D11" s="20" t="n">
        <v>0</v>
      </c>
      <c r="E11" s="10" t="s">
        <v>406</v>
      </c>
      <c r="F11" s="10" t="s">
        <v>416</v>
      </c>
      <c r="G11" s="10" t="s">
        <v>408</v>
      </c>
      <c r="H11" s="27" t="s">
        <v>409</v>
      </c>
    </row>
    <row r="12" customFormat="false" ht="32.25" hidden="false" customHeight="true" outlineLevel="0" collapsed="false">
      <c r="A12" s="22" t="s">
        <v>111</v>
      </c>
      <c r="B12" s="22" t="s">
        <v>421</v>
      </c>
      <c r="C12" s="23" t="n">
        <f aca="false">SUM(C6:C11)</f>
        <v>0</v>
      </c>
      <c r="D12" s="23" t="n">
        <f aca="false">SUM(D6:D11)</f>
        <v>0</v>
      </c>
      <c r="E12" s="22"/>
      <c r="F12" s="22" t="s">
        <v>422</v>
      </c>
      <c r="G12" s="22"/>
      <c r="H12" s="22" t="s">
        <v>4</v>
      </c>
    </row>
  </sheetData>
  <mergeCells count="3">
    <mergeCell ref="A1:H1"/>
    <mergeCell ref="A2:H2"/>
    <mergeCell ref="A3:H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8"/>
    <col collapsed="false" customWidth="true" hidden="false" outlineLevel="0" max="3" min="3" style="0" width="49"/>
    <col collapsed="false" customWidth="true" hidden="false" outlineLevel="0" max="4" min="4" style="0" width="65"/>
    <col collapsed="false" customWidth="true" hidden="false" outlineLevel="0" max="5" min="5" style="0" width="55"/>
    <col collapsed="false" customWidth="true" hidden="false" outlineLevel="0" max="6" min="6" style="0" width="28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423</v>
      </c>
      <c r="B1" s="1"/>
      <c r="C1" s="1"/>
      <c r="D1" s="1"/>
      <c r="E1" s="1"/>
      <c r="F1" s="1"/>
      <c r="G1" s="1"/>
    </row>
    <row r="2" customFormat="false" ht="22.5" hidden="false" customHeight="true" outlineLevel="0" collapsed="false">
      <c r="A2" s="2" t="s">
        <v>424</v>
      </c>
      <c r="B2" s="2"/>
      <c r="C2" s="2"/>
      <c r="D2" s="2"/>
      <c r="E2" s="2"/>
      <c r="F2" s="2"/>
      <c r="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24" hidden="false" customHeight="true" outlineLevel="0" collapsed="false">
      <c r="A5" s="6" t="s">
        <v>425</v>
      </c>
      <c r="B5" s="6" t="s">
        <v>162</v>
      </c>
      <c r="C5" s="6" t="s">
        <v>426</v>
      </c>
      <c r="D5" s="6" t="s">
        <v>427</v>
      </c>
      <c r="E5" s="6" t="s">
        <v>428</v>
      </c>
      <c r="F5" s="6" t="s">
        <v>403</v>
      </c>
      <c r="G5" s="6" t="s">
        <v>78</v>
      </c>
    </row>
    <row r="6" customFormat="false" ht="24" hidden="false" customHeight="true" outlineLevel="0" collapsed="false">
      <c r="A6" s="11" t="s">
        <v>170</v>
      </c>
      <c r="B6" s="11" t="s">
        <v>429</v>
      </c>
      <c r="C6" s="11" t="s">
        <v>430</v>
      </c>
      <c r="D6" s="11" t="s">
        <v>431</v>
      </c>
      <c r="E6" s="11" t="s">
        <v>432</v>
      </c>
      <c r="F6" s="11" t="s">
        <v>433</v>
      </c>
      <c r="G6" s="11" t="s">
        <v>341</v>
      </c>
    </row>
    <row r="7" customFormat="false" ht="24" hidden="false" customHeight="true" outlineLevel="0" collapsed="false">
      <c r="A7" s="11" t="s">
        <v>175</v>
      </c>
      <c r="B7" s="11" t="s">
        <v>434</v>
      </c>
      <c r="C7" s="11" t="s">
        <v>435</v>
      </c>
      <c r="D7" s="11" t="s">
        <v>436</v>
      </c>
      <c r="E7" s="11" t="s">
        <v>437</v>
      </c>
      <c r="F7" s="11" t="s">
        <v>408</v>
      </c>
      <c r="G7" s="11" t="s">
        <v>341</v>
      </c>
    </row>
    <row r="8" customFormat="false" ht="24" hidden="false" customHeight="true" outlineLevel="0" collapsed="false">
      <c r="A8" s="11" t="s">
        <v>179</v>
      </c>
      <c r="B8" s="11" t="s">
        <v>438</v>
      </c>
      <c r="C8" s="11" t="s">
        <v>439</v>
      </c>
      <c r="D8" s="11" t="s">
        <v>440</v>
      </c>
      <c r="E8" s="11" t="s">
        <v>441</v>
      </c>
      <c r="F8" s="11" t="s">
        <v>442</v>
      </c>
      <c r="G8" s="11" t="s">
        <v>341</v>
      </c>
    </row>
    <row r="9" customFormat="false" ht="24" hidden="false" customHeight="true" outlineLevel="0" collapsed="false">
      <c r="A9" s="11" t="s">
        <v>183</v>
      </c>
      <c r="B9" s="11" t="s">
        <v>443</v>
      </c>
      <c r="C9" s="11" t="s">
        <v>444</v>
      </c>
      <c r="D9" s="11" t="s">
        <v>445</v>
      </c>
      <c r="E9" s="11" t="s">
        <v>446</v>
      </c>
      <c r="F9" s="11" t="s">
        <v>442</v>
      </c>
      <c r="G9" s="11" t="s">
        <v>341</v>
      </c>
    </row>
    <row r="10" customFormat="false" ht="75" hidden="false" customHeight="true" outlineLevel="0" collapsed="false">
      <c r="A10" s="8" t="s">
        <v>188</v>
      </c>
      <c r="B10" s="8" t="s">
        <v>447</v>
      </c>
      <c r="C10" s="8" t="s">
        <v>448</v>
      </c>
      <c r="D10" s="8" t="s">
        <v>449</v>
      </c>
      <c r="E10" s="8" t="s">
        <v>450</v>
      </c>
      <c r="F10" s="8" t="s">
        <v>433</v>
      </c>
      <c r="G10" s="27" t="s">
        <v>341</v>
      </c>
    </row>
    <row r="11" customFormat="false" ht="24" hidden="false" customHeight="true" outlineLevel="0" collapsed="false">
      <c r="A11" s="11" t="s">
        <v>192</v>
      </c>
      <c r="B11" s="11" t="s">
        <v>451</v>
      </c>
      <c r="C11" s="11" t="s">
        <v>452</v>
      </c>
      <c r="D11" s="11" t="s">
        <v>453</v>
      </c>
      <c r="E11" s="11" t="s">
        <v>454</v>
      </c>
      <c r="F11" s="11" t="s">
        <v>408</v>
      </c>
      <c r="G11" s="11" t="s">
        <v>341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6" min="6" style="0" width="62"/>
    <col collapsed="false" customWidth="true" hidden="false" outlineLevel="0" max="7" min="7" style="0" width="18"/>
    <col collapsed="false" customWidth="true" hidden="false" outlineLevel="0" max="8" min="8" style="0" width="24"/>
    <col collapsed="false" customWidth="true" hidden="false" outlineLevel="0" max="9" min="9" style="0" width="17"/>
  </cols>
  <sheetData>
    <row r="1" customFormat="false" ht="30" hidden="false" customHeight="true" outlineLevel="0" collapsed="false">
      <c r="A1" s="1" t="s">
        <v>455</v>
      </c>
      <c r="B1" s="1"/>
      <c r="C1" s="1"/>
      <c r="D1" s="1"/>
      <c r="E1" s="1"/>
      <c r="F1" s="1"/>
      <c r="G1" s="1"/>
      <c r="H1" s="1"/>
      <c r="I1" s="1"/>
    </row>
    <row r="2" customFormat="false" ht="22.5" hidden="false" customHeight="true" outlineLevel="0" collapsed="false">
      <c r="A2" s="2" t="s">
        <v>456</v>
      </c>
      <c r="B2" s="2"/>
      <c r="C2" s="2"/>
      <c r="D2" s="2"/>
      <c r="E2" s="2"/>
      <c r="F2" s="2"/>
      <c r="G2" s="2"/>
      <c r="H2" s="2"/>
      <c r="I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  <c r="H4" s="4"/>
      <c r="I4" s="4"/>
    </row>
    <row r="5" customFormat="false" ht="24" hidden="false" customHeight="true" outlineLevel="0" collapsed="false">
      <c r="A5" s="6" t="s">
        <v>457</v>
      </c>
      <c r="B5" s="6" t="s">
        <v>458</v>
      </c>
      <c r="C5" s="6" t="s">
        <v>459</v>
      </c>
      <c r="D5" s="6" t="s">
        <v>460</v>
      </c>
      <c r="E5" s="6" t="s">
        <v>461</v>
      </c>
      <c r="F5" s="6" t="s">
        <v>4</v>
      </c>
      <c r="G5" s="6" t="s">
        <v>425</v>
      </c>
      <c r="H5" s="6" t="s">
        <v>403</v>
      </c>
      <c r="I5" s="6" t="s">
        <v>78</v>
      </c>
    </row>
    <row r="6" customFormat="false" ht="24" hidden="false" customHeight="true" outlineLevel="0" collapsed="false">
      <c r="A6" s="11" t="s">
        <v>462</v>
      </c>
      <c r="B6" s="11" t="s">
        <v>463</v>
      </c>
      <c r="C6" s="11" t="s">
        <v>464</v>
      </c>
      <c r="D6" s="11" t="s">
        <v>465</v>
      </c>
      <c r="E6" s="11" t="s">
        <v>466</v>
      </c>
      <c r="F6" s="11" t="s">
        <v>467</v>
      </c>
      <c r="G6" s="11" t="s">
        <v>468</v>
      </c>
      <c r="H6" s="11" t="s">
        <v>408</v>
      </c>
      <c r="I6" s="11" t="s">
        <v>469</v>
      </c>
    </row>
    <row r="7" customFormat="false" ht="24" hidden="false" customHeight="true" outlineLevel="0" collapsed="false">
      <c r="A7" s="11" t="s">
        <v>470</v>
      </c>
      <c r="B7" s="11" t="s">
        <v>471</v>
      </c>
      <c r="C7" s="11" t="s">
        <v>465</v>
      </c>
      <c r="D7" s="11" t="s">
        <v>465</v>
      </c>
      <c r="E7" s="11" t="s">
        <v>472</v>
      </c>
      <c r="F7" s="11" t="s">
        <v>473</v>
      </c>
      <c r="G7" s="11" t="s">
        <v>474</v>
      </c>
      <c r="H7" s="11" t="s">
        <v>433</v>
      </c>
      <c r="I7" s="11" t="s">
        <v>469</v>
      </c>
    </row>
    <row r="8" customFormat="false" ht="24" hidden="false" customHeight="true" outlineLevel="0" collapsed="false">
      <c r="A8" s="11" t="s">
        <v>475</v>
      </c>
      <c r="B8" s="11" t="s">
        <v>476</v>
      </c>
      <c r="C8" s="11" t="s">
        <v>464</v>
      </c>
      <c r="D8" s="11" t="s">
        <v>465</v>
      </c>
      <c r="E8" s="11" t="s">
        <v>477</v>
      </c>
      <c r="F8" s="11" t="s">
        <v>478</v>
      </c>
      <c r="G8" s="11" t="s">
        <v>479</v>
      </c>
      <c r="H8" s="11" t="s">
        <v>408</v>
      </c>
      <c r="I8" s="11" t="s">
        <v>469</v>
      </c>
    </row>
    <row r="9" customFormat="false" ht="24" hidden="false" customHeight="true" outlineLevel="0" collapsed="false">
      <c r="A9" s="11" t="s">
        <v>480</v>
      </c>
      <c r="B9" s="11" t="s">
        <v>481</v>
      </c>
      <c r="C9" s="11" t="s">
        <v>464</v>
      </c>
      <c r="D9" s="11" t="s">
        <v>465</v>
      </c>
      <c r="E9" s="11" t="s">
        <v>482</v>
      </c>
      <c r="F9" s="11" t="s">
        <v>483</v>
      </c>
      <c r="G9" s="11" t="s">
        <v>484</v>
      </c>
      <c r="H9" s="11" t="s">
        <v>408</v>
      </c>
      <c r="I9" s="11" t="s">
        <v>469</v>
      </c>
    </row>
    <row r="10" customFormat="false" ht="24" hidden="false" customHeight="true" outlineLevel="0" collapsed="false">
      <c r="A10" s="11" t="s">
        <v>485</v>
      </c>
      <c r="B10" s="11" t="s">
        <v>486</v>
      </c>
      <c r="C10" s="11" t="s">
        <v>464</v>
      </c>
      <c r="D10" s="11" t="s">
        <v>465</v>
      </c>
      <c r="E10" s="11" t="s">
        <v>487</v>
      </c>
      <c r="F10" s="11" t="s">
        <v>488</v>
      </c>
      <c r="G10" s="11" t="s">
        <v>230</v>
      </c>
      <c r="H10" s="11" t="s">
        <v>442</v>
      </c>
      <c r="I10" s="11" t="s">
        <v>469</v>
      </c>
    </row>
    <row r="11" customFormat="false" ht="24" hidden="false" customHeight="true" outlineLevel="0" collapsed="false">
      <c r="A11" s="11" t="s">
        <v>489</v>
      </c>
      <c r="B11" s="11" t="s">
        <v>490</v>
      </c>
      <c r="C11" s="11" t="s">
        <v>491</v>
      </c>
      <c r="D11" s="11" t="s">
        <v>465</v>
      </c>
      <c r="E11" s="11" t="s">
        <v>492</v>
      </c>
      <c r="F11" s="11" t="s">
        <v>493</v>
      </c>
      <c r="G11" s="11" t="s">
        <v>196</v>
      </c>
      <c r="H11" s="11" t="s">
        <v>408</v>
      </c>
      <c r="I11" s="11" t="s">
        <v>469</v>
      </c>
    </row>
    <row r="12" customFormat="false" ht="75" hidden="false" customHeight="true" outlineLevel="0" collapsed="false">
      <c r="A12" s="8" t="s">
        <v>494</v>
      </c>
      <c r="B12" s="8" t="s">
        <v>495</v>
      </c>
      <c r="C12" s="8" t="s">
        <v>464</v>
      </c>
      <c r="D12" s="8" t="s">
        <v>464</v>
      </c>
      <c r="E12" s="8" t="s">
        <v>496</v>
      </c>
      <c r="F12" s="8" t="s">
        <v>497</v>
      </c>
      <c r="G12" s="8" t="s">
        <v>231</v>
      </c>
      <c r="H12" s="8" t="s">
        <v>433</v>
      </c>
      <c r="I12" s="8" t="s">
        <v>469</v>
      </c>
    </row>
    <row r="13" customFormat="false" ht="24" hidden="false" customHeight="true" outlineLevel="0" collapsed="false">
      <c r="A13" s="11" t="s">
        <v>498</v>
      </c>
      <c r="B13" s="11" t="s">
        <v>499</v>
      </c>
      <c r="C13" s="11" t="s">
        <v>464</v>
      </c>
      <c r="D13" s="11" t="s">
        <v>465</v>
      </c>
      <c r="E13" s="11" t="s">
        <v>500</v>
      </c>
      <c r="F13" s="11" t="s">
        <v>501</v>
      </c>
      <c r="G13" s="11" t="s">
        <v>502</v>
      </c>
      <c r="H13" s="11" t="s">
        <v>408</v>
      </c>
      <c r="I13" s="11" t="s">
        <v>503</v>
      </c>
    </row>
  </sheetData>
  <mergeCells count="3">
    <mergeCell ref="A1:I1"/>
    <mergeCell ref="A2:I2"/>
    <mergeCell ref="A3:I3"/>
  </mergeCells>
  <conditionalFormatting sqref="C6:D13">
    <cfRule type="containsText" priority="2" operator="containsText" aboveAverage="0" equalAverage="0" bottom="0" percent="0" rank="0" text="High" dxfId="0">
      <formula>NOT(ISERROR(SEARCH("High",C6)))</formula>
    </cfRule>
    <cfRule type="containsText" priority="3" operator="containsText" aboveAverage="0" equalAverage="0" bottom="0" percent="0" rank="0" text="Medium" dxfId="1">
      <formula>NOT(ISERROR(SEARCH("Medium",C6)))</formula>
    </cfRule>
    <cfRule type="containsText" priority="4" operator="containsText" aboveAverage="0" equalAverage="0" bottom="0" percent="0" rank="0" text="Low" dxfId="2">
      <formula>NOT(ISERROR(SEARCH("Low",C6)))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61"/>
    <col collapsed="false" customWidth="true" hidden="false" outlineLevel="0" max="3" min="3" style="0" width="62"/>
    <col collapsed="false" customWidth="true" hidden="false" outlineLevel="0" max="4" min="4" style="0" width="58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18"/>
  </cols>
  <sheetData>
    <row r="1" customFormat="false" ht="30" hidden="false" customHeight="true" outlineLevel="0" collapsed="false">
      <c r="A1" s="1" t="s">
        <v>504</v>
      </c>
      <c r="B1" s="1"/>
      <c r="C1" s="1"/>
      <c r="D1" s="1"/>
      <c r="E1" s="1"/>
      <c r="F1" s="1"/>
      <c r="G1" s="1"/>
    </row>
    <row r="2" customFormat="false" ht="22.5" hidden="false" customHeight="true" outlineLevel="0" collapsed="false">
      <c r="A2" s="2" t="s">
        <v>505</v>
      </c>
      <c r="B2" s="2"/>
      <c r="C2" s="2"/>
      <c r="D2" s="2"/>
      <c r="E2" s="2"/>
      <c r="F2" s="2"/>
      <c r="G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  <c r="G4" s="4"/>
    </row>
    <row r="5" customFormat="false" ht="24" hidden="false" customHeight="true" outlineLevel="0" collapsed="false">
      <c r="A5" s="6" t="s">
        <v>506</v>
      </c>
      <c r="B5" s="6" t="s">
        <v>507</v>
      </c>
      <c r="C5" s="6" t="s">
        <v>508</v>
      </c>
      <c r="D5" s="6" t="s">
        <v>509</v>
      </c>
      <c r="E5" s="6" t="s">
        <v>510</v>
      </c>
      <c r="F5" s="6" t="s">
        <v>162</v>
      </c>
      <c r="G5" s="6" t="s">
        <v>78</v>
      </c>
    </row>
    <row r="6" customFormat="false" ht="24" hidden="false" customHeight="true" outlineLevel="0" collapsed="false">
      <c r="A6" s="11" t="s">
        <v>511</v>
      </c>
      <c r="B6" s="11" t="s">
        <v>512</v>
      </c>
      <c r="C6" s="11" t="s">
        <v>513</v>
      </c>
      <c r="D6" s="11" t="s">
        <v>514</v>
      </c>
      <c r="E6" s="11" t="s">
        <v>515</v>
      </c>
      <c r="F6" s="11" t="s">
        <v>516</v>
      </c>
      <c r="G6" s="11" t="s">
        <v>341</v>
      </c>
    </row>
    <row r="7" customFormat="false" ht="24" hidden="false" customHeight="true" outlineLevel="0" collapsed="false">
      <c r="A7" s="11" t="s">
        <v>517</v>
      </c>
      <c r="B7" s="11" t="s">
        <v>518</v>
      </c>
      <c r="C7" s="11" t="s">
        <v>519</v>
      </c>
      <c r="D7" s="11" t="s">
        <v>520</v>
      </c>
      <c r="E7" s="11" t="s">
        <v>521</v>
      </c>
      <c r="F7" s="11" t="s">
        <v>180</v>
      </c>
      <c r="G7" s="11" t="s">
        <v>341</v>
      </c>
    </row>
    <row r="8" customFormat="false" ht="24" hidden="false" customHeight="true" outlineLevel="0" collapsed="false">
      <c r="A8" s="11" t="s">
        <v>522</v>
      </c>
      <c r="B8" s="11" t="s">
        <v>523</v>
      </c>
      <c r="C8" s="11" t="s">
        <v>524</v>
      </c>
      <c r="D8" s="11" t="s">
        <v>525</v>
      </c>
      <c r="E8" s="11" t="s">
        <v>526</v>
      </c>
      <c r="F8" s="11" t="s">
        <v>527</v>
      </c>
      <c r="G8" s="11" t="s">
        <v>341</v>
      </c>
    </row>
    <row r="9" customFormat="false" ht="24" hidden="false" customHeight="true" outlineLevel="0" collapsed="false">
      <c r="A9" s="11" t="s">
        <v>528</v>
      </c>
      <c r="B9" s="11" t="s">
        <v>529</v>
      </c>
      <c r="C9" s="11" t="s">
        <v>530</v>
      </c>
      <c r="D9" s="11" t="s">
        <v>531</v>
      </c>
      <c r="E9" s="11" t="s">
        <v>532</v>
      </c>
      <c r="F9" s="11" t="s">
        <v>533</v>
      </c>
      <c r="G9" s="11" t="s">
        <v>341</v>
      </c>
    </row>
    <row r="10" customFormat="false" ht="108" hidden="false" customHeight="true" outlineLevel="0" collapsed="false">
      <c r="A10" s="8" t="s">
        <v>534</v>
      </c>
      <c r="B10" s="8" t="s">
        <v>535</v>
      </c>
      <c r="C10" s="8" t="s">
        <v>536</v>
      </c>
      <c r="D10" s="8" t="s">
        <v>537</v>
      </c>
      <c r="E10" s="8" t="s">
        <v>538</v>
      </c>
      <c r="F10" s="8" t="s">
        <v>539</v>
      </c>
      <c r="G10" s="27" t="s">
        <v>341</v>
      </c>
    </row>
    <row r="11" customFormat="false" ht="24" hidden="false" customHeight="true" outlineLevel="0" collapsed="false">
      <c r="A11" s="11" t="s">
        <v>540</v>
      </c>
      <c r="B11" s="11" t="s">
        <v>541</v>
      </c>
      <c r="C11" s="11" t="s">
        <v>542</v>
      </c>
      <c r="D11" s="11" t="s">
        <v>543</v>
      </c>
      <c r="E11" s="11" t="s">
        <v>104</v>
      </c>
      <c r="F11" s="11" t="s">
        <v>210</v>
      </c>
      <c r="G11" s="11" t="s">
        <v>341</v>
      </c>
    </row>
    <row r="12" customFormat="false" ht="24" hidden="false" customHeight="true" outlineLevel="0" collapsed="false">
      <c r="A12" s="11" t="s">
        <v>544</v>
      </c>
      <c r="B12" s="11" t="s">
        <v>545</v>
      </c>
      <c r="C12" s="11" t="s">
        <v>546</v>
      </c>
      <c r="D12" s="11" t="s">
        <v>547</v>
      </c>
      <c r="E12" s="11" t="s">
        <v>548</v>
      </c>
      <c r="F12" s="11" t="s">
        <v>189</v>
      </c>
      <c r="G12" s="11" t="s">
        <v>341</v>
      </c>
    </row>
    <row r="13" customFormat="false" ht="24" hidden="false" customHeight="true" outlineLevel="0" collapsed="false">
      <c r="A13" s="11" t="s">
        <v>549</v>
      </c>
      <c r="B13" s="11" t="s">
        <v>550</v>
      </c>
      <c r="C13" s="11" t="s">
        <v>551</v>
      </c>
      <c r="D13" s="11" t="s">
        <v>552</v>
      </c>
      <c r="E13" s="11" t="s">
        <v>104</v>
      </c>
      <c r="F13" s="11" t="s">
        <v>210</v>
      </c>
      <c r="G13" s="11" t="s">
        <v>341</v>
      </c>
    </row>
  </sheetData>
  <mergeCells count="3">
    <mergeCell ref="A1:G1"/>
    <mergeCell ref="A2:G2"/>
    <mergeCell ref="A3:G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95"/>
    <col collapsed="false" customWidth="true" hidden="false" outlineLevel="0" max="4" min="4" style="0" width="24"/>
    <col collapsed="false" customWidth="true" hidden="false" outlineLevel="0" max="5" min="5" style="0" width="20"/>
  </cols>
  <sheetData>
    <row r="1" customFormat="false" ht="30" hidden="false" customHeight="true" outlineLevel="0" collapsed="false">
      <c r="A1" s="1" t="s">
        <v>553</v>
      </c>
      <c r="B1" s="1"/>
      <c r="C1" s="1"/>
      <c r="D1" s="1"/>
      <c r="E1" s="1"/>
    </row>
    <row r="2" customFormat="false" ht="22.5" hidden="false" customHeight="true" outlineLevel="0" collapsed="false">
      <c r="A2" s="2" t="s">
        <v>554</v>
      </c>
      <c r="B2" s="2"/>
      <c r="C2" s="2"/>
      <c r="D2" s="2"/>
      <c r="E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</row>
    <row r="4" customFormat="false" ht="9" hidden="false" customHeight="true" outlineLevel="0" collapsed="false">
      <c r="A4" s="4"/>
      <c r="B4" s="4"/>
      <c r="C4" s="4"/>
      <c r="D4" s="4"/>
      <c r="E4" s="4"/>
    </row>
    <row r="5" customFormat="false" ht="24" hidden="false" customHeight="true" outlineLevel="0" collapsed="false">
      <c r="A5" s="6" t="s">
        <v>457</v>
      </c>
      <c r="B5" s="6" t="s">
        <v>555</v>
      </c>
      <c r="C5" s="6" t="s">
        <v>556</v>
      </c>
      <c r="D5" s="6" t="s">
        <v>78</v>
      </c>
      <c r="E5" s="6" t="s">
        <v>557</v>
      </c>
    </row>
    <row r="6" customFormat="false" ht="24" hidden="false" customHeight="true" outlineLevel="0" collapsed="false">
      <c r="A6" s="11" t="s">
        <v>558</v>
      </c>
      <c r="B6" s="11" t="s">
        <v>559</v>
      </c>
      <c r="C6" s="11" t="s">
        <v>560</v>
      </c>
      <c r="D6" s="11" t="s">
        <v>561</v>
      </c>
      <c r="E6" s="11" t="s">
        <v>562</v>
      </c>
    </row>
    <row r="7" customFormat="false" ht="24" hidden="false" customHeight="true" outlineLevel="0" collapsed="false">
      <c r="A7" s="11" t="s">
        <v>563</v>
      </c>
      <c r="B7" s="11" t="s">
        <v>564</v>
      </c>
      <c r="C7" s="11" t="s">
        <v>565</v>
      </c>
      <c r="D7" s="11" t="s">
        <v>566</v>
      </c>
      <c r="E7" s="11" t="s">
        <v>562</v>
      </c>
    </row>
    <row r="8" customFormat="false" ht="24" hidden="false" customHeight="true" outlineLevel="0" collapsed="false">
      <c r="A8" s="11" t="s">
        <v>567</v>
      </c>
      <c r="B8" s="11" t="s">
        <v>568</v>
      </c>
      <c r="C8" s="11" t="s">
        <v>569</v>
      </c>
      <c r="D8" s="11" t="s">
        <v>566</v>
      </c>
      <c r="E8" s="11" t="s">
        <v>562</v>
      </c>
    </row>
    <row r="9" customFormat="false" ht="24" hidden="false" customHeight="true" outlineLevel="0" collapsed="false">
      <c r="A9" s="11" t="s">
        <v>570</v>
      </c>
      <c r="B9" s="11" t="s">
        <v>571</v>
      </c>
      <c r="C9" s="11" t="s">
        <v>572</v>
      </c>
      <c r="D9" s="11" t="s">
        <v>573</v>
      </c>
      <c r="E9" s="11" t="s">
        <v>562</v>
      </c>
    </row>
    <row r="10" customFormat="false" ht="24" hidden="false" customHeight="true" outlineLevel="0" collapsed="false">
      <c r="A10" s="11" t="s">
        <v>574</v>
      </c>
      <c r="B10" s="11" t="s">
        <v>575</v>
      </c>
      <c r="C10" s="11" t="s">
        <v>576</v>
      </c>
      <c r="D10" s="11" t="s">
        <v>566</v>
      </c>
      <c r="E10" s="11" t="s">
        <v>562</v>
      </c>
    </row>
    <row r="11" customFormat="false" ht="118.5" hidden="false" customHeight="true" outlineLevel="0" collapsed="false">
      <c r="A11" s="10" t="s">
        <v>577</v>
      </c>
      <c r="B11" s="10" t="s">
        <v>578</v>
      </c>
      <c r="C11" s="10" t="s">
        <v>579</v>
      </c>
      <c r="D11" s="10" t="s">
        <v>580</v>
      </c>
      <c r="E11" s="10" t="s">
        <v>562</v>
      </c>
    </row>
    <row r="12" customFormat="false" ht="24" hidden="false" customHeight="true" outlineLevel="0" collapsed="false">
      <c r="A12" s="11" t="s">
        <v>581</v>
      </c>
      <c r="B12" s="11" t="s">
        <v>40</v>
      </c>
      <c r="C12" s="11" t="s">
        <v>582</v>
      </c>
      <c r="D12" s="11" t="s">
        <v>566</v>
      </c>
      <c r="E12" s="11" t="s">
        <v>562</v>
      </c>
    </row>
    <row r="13" customFormat="false" ht="24" hidden="false" customHeight="true" outlineLevel="0" collapsed="false">
      <c r="A13" s="11" t="s">
        <v>583</v>
      </c>
      <c r="B13" s="11" t="s">
        <v>584</v>
      </c>
      <c r="C13" s="11" t="s">
        <v>585</v>
      </c>
      <c r="D13" s="11" t="s">
        <v>566</v>
      </c>
      <c r="E13" s="11" t="s">
        <v>562</v>
      </c>
    </row>
    <row r="14" customFormat="false" ht="75" hidden="false" customHeight="true" outlineLevel="0" collapsed="false">
      <c r="A14" s="8" t="s">
        <v>586</v>
      </c>
      <c r="B14" s="8" t="s">
        <v>587</v>
      </c>
      <c r="C14" s="8" t="s">
        <v>588</v>
      </c>
      <c r="D14" s="8" t="s">
        <v>573</v>
      </c>
      <c r="E14" s="8" t="s">
        <v>562</v>
      </c>
    </row>
    <row r="15" customFormat="false" ht="96.75" hidden="false" customHeight="true" outlineLevel="0" collapsed="false">
      <c r="A15" s="10" t="s">
        <v>589</v>
      </c>
      <c r="B15" s="10" t="s">
        <v>590</v>
      </c>
      <c r="C15" s="10" t="s">
        <v>591</v>
      </c>
      <c r="D15" s="10" t="s">
        <v>573</v>
      </c>
      <c r="E15" s="10" t="s">
        <v>562</v>
      </c>
    </row>
    <row r="16" customFormat="false" ht="108" hidden="false" customHeight="true" outlineLevel="0" collapsed="false">
      <c r="A16" s="8" t="s">
        <v>592</v>
      </c>
      <c r="B16" s="8" t="s">
        <v>593</v>
      </c>
      <c r="C16" s="8" t="s">
        <v>594</v>
      </c>
      <c r="D16" s="8" t="s">
        <v>573</v>
      </c>
      <c r="E16" s="8" t="s">
        <v>562</v>
      </c>
    </row>
    <row r="17" customFormat="false" ht="54" hidden="false" customHeight="true" outlineLevel="0" collapsed="false">
      <c r="A17" s="10" t="s">
        <v>595</v>
      </c>
      <c r="B17" s="10" t="s">
        <v>46</v>
      </c>
      <c r="C17" s="10" t="s">
        <v>596</v>
      </c>
      <c r="D17" s="10" t="s">
        <v>573</v>
      </c>
      <c r="E17" s="10" t="s">
        <v>562</v>
      </c>
    </row>
    <row r="18" customFormat="false" ht="129" hidden="false" customHeight="true" outlineLevel="0" collapsed="false">
      <c r="A18" s="8" t="s">
        <v>597</v>
      </c>
      <c r="B18" s="8" t="s">
        <v>598</v>
      </c>
      <c r="C18" s="8" t="s">
        <v>599</v>
      </c>
      <c r="D18" s="36" t="s">
        <v>600</v>
      </c>
      <c r="E18" s="8" t="s">
        <v>562</v>
      </c>
    </row>
    <row r="19" customFormat="false" ht="108" hidden="false" customHeight="true" outlineLevel="0" collapsed="false">
      <c r="A19" s="10" t="s">
        <v>601</v>
      </c>
      <c r="B19" s="10" t="s">
        <v>602</v>
      </c>
      <c r="C19" s="10" t="s">
        <v>603</v>
      </c>
      <c r="D19" s="36" t="s">
        <v>600</v>
      </c>
      <c r="E19" s="10" t="s">
        <v>562</v>
      </c>
    </row>
    <row r="20" customFormat="false" ht="129" hidden="false" customHeight="true" outlineLevel="0" collapsed="false">
      <c r="A20" s="8" t="s">
        <v>604</v>
      </c>
      <c r="B20" s="8" t="s">
        <v>605</v>
      </c>
      <c r="C20" s="8" t="s">
        <v>606</v>
      </c>
      <c r="D20" s="36" t="s">
        <v>600</v>
      </c>
      <c r="E20" s="8" t="s">
        <v>562</v>
      </c>
    </row>
    <row r="21" customFormat="false" ht="24" hidden="false" customHeight="true" outlineLevel="0" collapsed="false">
      <c r="A21" s="11" t="s">
        <v>607</v>
      </c>
      <c r="B21" s="11" t="s">
        <v>608</v>
      </c>
      <c r="C21" s="11" t="s">
        <v>609</v>
      </c>
      <c r="D21" s="11" t="s">
        <v>600</v>
      </c>
      <c r="E21" s="11" t="s">
        <v>562</v>
      </c>
    </row>
    <row r="22" customFormat="false" ht="24" hidden="false" customHeight="true" outlineLevel="0" collapsed="false">
      <c r="A22" s="11" t="s">
        <v>610</v>
      </c>
      <c r="B22" s="11" t="s">
        <v>611</v>
      </c>
      <c r="C22" s="11" t="s">
        <v>612</v>
      </c>
      <c r="D22" s="11" t="s">
        <v>600</v>
      </c>
      <c r="E22" s="11" t="s">
        <v>562</v>
      </c>
    </row>
    <row r="23" customFormat="false" ht="24" hidden="false" customHeight="true" outlineLevel="0" collapsed="false">
      <c r="A23" s="11" t="s">
        <v>613</v>
      </c>
      <c r="B23" s="11" t="s">
        <v>614</v>
      </c>
      <c r="C23" s="11" t="s">
        <v>615</v>
      </c>
      <c r="D23" s="11" t="s">
        <v>600</v>
      </c>
      <c r="E23" s="11" t="s">
        <v>562</v>
      </c>
    </row>
    <row r="24" customFormat="false" ht="24" hidden="false" customHeight="true" outlineLevel="0" collapsed="false">
      <c r="A24" s="11" t="s">
        <v>616</v>
      </c>
      <c r="B24" s="11" t="s">
        <v>617</v>
      </c>
      <c r="C24" s="11" t="s">
        <v>618</v>
      </c>
      <c r="D24" s="11" t="s">
        <v>600</v>
      </c>
      <c r="E24" s="11" t="s">
        <v>562</v>
      </c>
    </row>
    <row r="25" customFormat="false" ht="24" hidden="false" customHeight="true" outlineLevel="0" collapsed="false">
      <c r="A25" s="11" t="s">
        <v>619</v>
      </c>
      <c r="B25" s="11" t="s">
        <v>620</v>
      </c>
      <c r="C25" s="11" t="s">
        <v>621</v>
      </c>
      <c r="D25" s="11" t="s">
        <v>600</v>
      </c>
      <c r="E25" s="11" t="s">
        <v>562</v>
      </c>
    </row>
    <row r="26" customFormat="false" ht="108" hidden="false" customHeight="true" outlineLevel="0" collapsed="false">
      <c r="A26" s="8" t="s">
        <v>622</v>
      </c>
      <c r="B26" s="8" t="s">
        <v>623</v>
      </c>
      <c r="C26" s="8" t="s">
        <v>624</v>
      </c>
      <c r="D26" s="36" t="s">
        <v>600</v>
      </c>
      <c r="E26" s="8" t="s">
        <v>562</v>
      </c>
    </row>
    <row r="27" customFormat="false" ht="108" hidden="false" customHeight="true" outlineLevel="0" collapsed="false">
      <c r="A27" s="10" t="s">
        <v>625</v>
      </c>
      <c r="B27" s="10" t="s">
        <v>626</v>
      </c>
      <c r="C27" s="10" t="s">
        <v>627</v>
      </c>
      <c r="D27" s="36" t="s">
        <v>600</v>
      </c>
      <c r="E27" s="10" t="s">
        <v>562</v>
      </c>
    </row>
  </sheetData>
  <mergeCells count="3">
    <mergeCell ref="A1:E1"/>
    <mergeCell ref="A2:E2"/>
    <mergeCell ref="A3:E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62"/>
    <col collapsed="false" customWidth="true" hidden="false" outlineLevel="0" max="5" min="5" style="0" width="24"/>
    <col collapsed="false" customWidth="true" hidden="false" outlineLevel="0" max="6" min="6" style="0" width="43"/>
  </cols>
  <sheetData>
    <row r="1" customFormat="false" ht="30" hidden="false" customHeight="true" outlineLevel="0" collapsed="false">
      <c r="A1" s="1" t="s">
        <v>628</v>
      </c>
      <c r="B1" s="1"/>
      <c r="C1" s="1"/>
      <c r="D1" s="1"/>
      <c r="E1" s="1"/>
      <c r="F1" s="1"/>
    </row>
    <row r="2" customFormat="false" ht="22.5" hidden="false" customHeight="true" outlineLevel="0" collapsed="false">
      <c r="A2" s="2" t="s">
        <v>629</v>
      </c>
      <c r="B2" s="2"/>
      <c r="C2" s="2"/>
      <c r="D2" s="2"/>
      <c r="E2" s="2"/>
      <c r="F2" s="2"/>
    </row>
    <row r="3" customFormat="false" ht="18.75" hidden="false" customHeight="true" outlineLevel="0" collapsed="false">
      <c r="A3" s="3" t="s">
        <v>2</v>
      </c>
      <c r="B3" s="3"/>
      <c r="C3" s="3"/>
      <c r="D3" s="3"/>
      <c r="E3" s="3"/>
      <c r="F3" s="3"/>
    </row>
    <row r="4" customFormat="false" ht="9" hidden="false" customHeight="true" outlineLevel="0" collapsed="false">
      <c r="A4" s="4"/>
      <c r="B4" s="4"/>
      <c r="C4" s="4"/>
      <c r="D4" s="4"/>
      <c r="E4" s="4"/>
      <c r="F4" s="4"/>
    </row>
    <row r="5" customFormat="false" ht="24" hidden="false" customHeight="true" outlineLevel="0" collapsed="false">
      <c r="A5" s="6" t="s">
        <v>457</v>
      </c>
      <c r="B5" s="6" t="s">
        <v>630</v>
      </c>
      <c r="C5" s="6" t="s">
        <v>631</v>
      </c>
      <c r="D5" s="6" t="s">
        <v>373</v>
      </c>
      <c r="E5" s="6" t="s">
        <v>78</v>
      </c>
      <c r="F5" s="6" t="s">
        <v>632</v>
      </c>
    </row>
    <row r="6" customFormat="false" ht="75" hidden="false" customHeight="true" outlineLevel="0" collapsed="false">
      <c r="A6" s="8" t="s">
        <v>633</v>
      </c>
      <c r="B6" s="8" t="s">
        <v>634</v>
      </c>
      <c r="C6" s="8" t="s">
        <v>635</v>
      </c>
      <c r="D6" s="8" t="s">
        <v>636</v>
      </c>
      <c r="E6" s="8" t="s">
        <v>637</v>
      </c>
      <c r="F6" s="8" t="s">
        <v>638</v>
      </c>
    </row>
    <row r="7" customFormat="false" ht="64.5" hidden="false" customHeight="true" outlineLevel="0" collapsed="false">
      <c r="A7" s="10" t="s">
        <v>639</v>
      </c>
      <c r="B7" s="10" t="s">
        <v>640</v>
      </c>
      <c r="C7" s="10" t="s">
        <v>641</v>
      </c>
      <c r="D7" s="10" t="s">
        <v>642</v>
      </c>
      <c r="E7" s="10" t="s">
        <v>637</v>
      </c>
      <c r="F7" s="10" t="s">
        <v>643</v>
      </c>
    </row>
    <row r="8" customFormat="false" ht="75" hidden="false" customHeight="true" outlineLevel="0" collapsed="false">
      <c r="A8" s="8" t="s">
        <v>644</v>
      </c>
      <c r="B8" s="8" t="s">
        <v>645</v>
      </c>
      <c r="C8" s="8" t="s">
        <v>646</v>
      </c>
      <c r="D8" s="8" t="s">
        <v>647</v>
      </c>
      <c r="E8" s="8" t="s">
        <v>648</v>
      </c>
      <c r="F8" s="8" t="s">
        <v>649</v>
      </c>
    </row>
    <row r="9" customFormat="false" ht="64.5" hidden="false" customHeight="true" outlineLevel="0" collapsed="false">
      <c r="A9" s="10" t="s">
        <v>650</v>
      </c>
      <c r="B9" s="10" t="s">
        <v>651</v>
      </c>
      <c r="C9" s="10" t="s">
        <v>652</v>
      </c>
      <c r="D9" s="10" t="s">
        <v>653</v>
      </c>
      <c r="E9" s="10" t="s">
        <v>654</v>
      </c>
      <c r="F9" s="10" t="s">
        <v>655</v>
      </c>
    </row>
    <row r="10" customFormat="false" ht="42.75" hidden="false" customHeight="true" outlineLevel="0" collapsed="false">
      <c r="A10" s="8" t="s">
        <v>656</v>
      </c>
      <c r="B10" s="8" t="s">
        <v>657</v>
      </c>
      <c r="C10" s="8" t="s">
        <v>658</v>
      </c>
      <c r="D10" s="8" t="s">
        <v>659</v>
      </c>
      <c r="E10" s="8" t="s">
        <v>660</v>
      </c>
      <c r="F10" s="8" t="s">
        <v>661</v>
      </c>
    </row>
    <row r="11" customFormat="false" ht="24" hidden="false" customHeight="true" outlineLevel="0" collapsed="false">
      <c r="A11" s="11" t="s">
        <v>662</v>
      </c>
      <c r="B11" s="11" t="s">
        <v>663</v>
      </c>
      <c r="C11" s="11" t="s">
        <v>658</v>
      </c>
      <c r="D11" s="11" t="s">
        <v>664</v>
      </c>
      <c r="E11" s="11" t="s">
        <v>660</v>
      </c>
      <c r="F11" s="11" t="s">
        <v>661</v>
      </c>
    </row>
    <row r="12" customFormat="false" ht="86.25" hidden="false" customHeight="true" outlineLevel="0" collapsed="false">
      <c r="A12" s="8" t="s">
        <v>665</v>
      </c>
      <c r="B12" s="8" t="s">
        <v>666</v>
      </c>
      <c r="C12" s="8" t="s">
        <v>667</v>
      </c>
      <c r="D12" s="8" t="s">
        <v>668</v>
      </c>
      <c r="E12" s="8" t="s">
        <v>648</v>
      </c>
      <c r="F12" s="8" t="s">
        <v>669</v>
      </c>
    </row>
    <row r="13" customFormat="false" ht="24" hidden="false" customHeight="true" outlineLevel="0" collapsed="false">
      <c r="A13" s="11" t="s">
        <v>670</v>
      </c>
      <c r="B13" s="11" t="s">
        <v>671</v>
      </c>
      <c r="C13" s="11" t="s">
        <v>672</v>
      </c>
      <c r="D13" s="11" t="s">
        <v>673</v>
      </c>
      <c r="E13" s="11" t="s">
        <v>648</v>
      </c>
      <c r="F13" s="11" t="s">
        <v>674</v>
      </c>
    </row>
    <row r="14" customFormat="false" ht="24" hidden="false" customHeight="true" outlineLevel="0" collapsed="false">
      <c r="A14" s="11" t="s">
        <v>675</v>
      </c>
      <c r="B14" s="11" t="s">
        <v>676</v>
      </c>
      <c r="C14" s="11" t="s">
        <v>677</v>
      </c>
      <c r="D14" s="11" t="s">
        <v>678</v>
      </c>
      <c r="E14" s="11" t="s">
        <v>648</v>
      </c>
      <c r="F14" s="11" t="s">
        <v>679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2026-08-17T09:52:00Z</dcterms:created>
  <dc:creator>Carly Heath · Nightlife Culture</dc:creator>
  <dc:description/>
  <dc:language>en-US</dc:language>
  <cp:lastModifiedBy/>
  <dcterms:modified xsi:type="dcterms:W3CDTF">2026-08-17T09:52:00Z</dcterms:modified>
  <cp:revision>0</cp:revision>
  <dc:subject/>
  <dc:title>Nightlife Culture · UKDF fellowship — budget and delivery workbook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